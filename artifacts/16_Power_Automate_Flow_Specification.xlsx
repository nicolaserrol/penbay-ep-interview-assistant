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071a3876beb34011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55e02e8e75643c4"/>
    <x:sheet xmlns:r="http://schemas.openxmlformats.org/officeDocument/2006/relationships" name="Flow Catalog" sheetId="2" r:id="R2016cdc0ec9e4187"/>
    <x:sheet xmlns:r="http://schemas.openxmlformats.org/officeDocument/2006/relationships" name="Flow Steps" sheetId="3" r:id="R94c1440400e74ff4"/>
    <x:sheet xmlns:r="http://schemas.openxmlformats.org/officeDocument/2006/relationships" name="Trigger Details" sheetId="4" r:id="R8c130ed16e0d45b5"/>
    <x:sheet xmlns:r="http://schemas.openxmlformats.org/officeDocument/2006/relationships" name="Inputs Outputs" sheetId="5" r:id="Rfd9525999fa14c31"/>
    <x:sheet xmlns:r="http://schemas.openxmlformats.org/officeDocument/2006/relationships" name="Approvals" sheetId="6" r:id="R87a12954de804328"/>
    <x:sheet xmlns:r="http://schemas.openxmlformats.org/officeDocument/2006/relationships" name="Error Handling" sheetId="7" r:id="Rf98fa129798a477c"/>
    <x:sheet xmlns:r="http://schemas.openxmlformats.org/officeDocument/2006/relationships" name="Environment Vars" sheetId="8" r:id="R656fb482005a4143"/>
    <x:sheet xmlns:r="http://schemas.openxmlformats.org/officeDocument/2006/relationships" name="Monitoring" sheetId="9" r:id="R85dde536198646cd"/>
    <x:sheet xmlns:r="http://schemas.openxmlformats.org/officeDocument/2006/relationships" name="Sample Payloads" sheetId="10" r:id="Re135decd75c44540"/>
    <x:sheet xmlns:r="http://schemas.openxmlformats.org/officeDocument/2006/relationships" name="Dependency Map" sheetId="11" r:id="R2c9754d850f54d7e"/>
    <x:sheet xmlns:r="http://schemas.openxmlformats.org/officeDocument/2006/relationships" name="Acceptance Criteria" sheetId="12" r:id="R0629eab6514245fb"/>
    <x:sheet xmlns:r="http://schemas.openxmlformats.org/officeDocument/2006/relationships" name="Change Control" sheetId="13" r:id="Rdda11b644c6b4cfe"/>
    <x:sheet xmlns:r="http://schemas.openxmlformats.org/officeDocument/2006/relationships" name="Dashboard" sheetId="14" r:id="R78c7492e31124b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7030A0"/>
      </x:patternFill>
    </x:fill>
    <x:fill>
      <x:patternFill patternType="solid">
        <x:fgColor rgb="E4DFEC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8CBAD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<?xml version="1.0" encoding="UTF-8" standalone="yes"?>
<Relationships xmlns="http://schemas.openxmlformats.org/package/2006/relationships"><Relationship Id="Rd55e02e8e75643c4" Type="http://schemas.openxmlformats.org/officeDocument/2006/relationships/worksheet" Target="/xl/worksheets/sheet1.xml"/><Relationship Id="R2016cdc0ec9e4187" Type="http://schemas.openxmlformats.org/officeDocument/2006/relationships/worksheet" Target="/xl/worksheets/sheet2.xml"/><Relationship Id="R8c130ed16e0d45b5" Type="http://schemas.openxmlformats.org/officeDocument/2006/relationships/worksheet" Target="/xl/worksheets/sheet4.xml"/><Relationship Id="Rf98fa129798a477c" Type="http://schemas.openxmlformats.org/officeDocument/2006/relationships/worksheet" Target="/xl/worksheets/sheet7.xml"/><Relationship Id="R656fb482005a4143" Type="http://schemas.openxmlformats.org/officeDocument/2006/relationships/worksheet" Target="/xl/worksheets/sheet8.xml"/><Relationship Id="Rdda11b644c6b4cfe" Type="http://schemas.openxmlformats.org/officeDocument/2006/relationships/worksheet" Target="/xl/worksheets/sheet13.xml"/><Relationship Id="R2c9754d850f54d7e" Type="http://schemas.openxmlformats.org/officeDocument/2006/relationships/worksheet" Target="/xl/worksheets/sheet11.xml"/><Relationship Id="R0629eab6514245fb" Type="http://schemas.openxmlformats.org/officeDocument/2006/relationships/worksheet" Target="/xl/worksheets/sheet12.xml"/><Relationship Id="rId3" Type="http://schemas.openxmlformats.org/officeDocument/2006/relationships/customXml" Target="../customXml/item3.xml"/><Relationship Id="Rfd9525999fa14c31" Type="http://schemas.openxmlformats.org/officeDocument/2006/relationships/worksheet" Target="/xl/worksheets/sheet5.xml"/><Relationship Id="R85dde536198646cd" Type="http://schemas.openxmlformats.org/officeDocument/2006/relationships/worksheet" Target="/xl/worksheets/sheet9.xml"/><Relationship Id="R87a12954de804328" Type="http://schemas.openxmlformats.org/officeDocument/2006/relationships/worksheet" Target="/xl/worksheets/sheet6.xml"/><Relationship Id="rId2" Type="http://schemas.openxmlformats.org/officeDocument/2006/relationships/customXml" Target="../customXml/item2.xml"/><Relationship Id="R58cf8722965b418a" Type="http://schemas.openxmlformats.org/officeDocument/2006/relationships/styles" Target="/xl/styles.xml"/><Relationship Id="R3e356f15c9cc4f76" Type="http://schemas.openxmlformats.org/officeDocument/2006/relationships/theme" Target="/xl/theme/theme1.xml"/><Relationship Id="Re135decd75c44540" Type="http://schemas.openxmlformats.org/officeDocument/2006/relationships/worksheet" Target="/xl/worksheets/sheet10.xml"/><Relationship Id="rId1" Type="http://schemas.openxmlformats.org/officeDocument/2006/relationships/customXml" Target="../customXml/item1.xml"/><Relationship Id="R42b1e61ed0ee40f2" Type="http://schemas.openxmlformats.org/officeDocument/2006/relationships/sharedStrings" Target="/xl/sharedStrings.xml"/><Relationship Id="R94c1440400e74ff4" Type="http://schemas.openxmlformats.org/officeDocument/2006/relationships/worksheet" Target="/xl/worksheets/sheet3.xml"/><Relationship Id="R78c7492e31124b6e" Type="http://schemas.openxmlformats.org/officeDocument/2006/relationships/worksheet" Target="/xl/worksheets/sheet14.xml"/></Relationships>
</file>

<file path=xl/tables/table1.xml><?xml version="1.0" encoding="utf-8"?>
<x:table xmlns:x="http://schemas.openxmlformats.org/spreadsheetml/2006/main" id="1" name="ReadmeTable" displayName="ReadmeTable" ref="A1:B8" headerRowCount="1">
  <x:tableColumns count="2">
    <x:tableColumn id="1" name="Section"/>
    <x:tableColumn id="2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FlowCatalogTable" displayName="FlowCatalogTable" ref="A1:M21" headerRowCount="1">
  <x:tableColumns count="13">
    <x:tableColumn id="1" name="Flow ID"/>
    <x:tableColumn id="2" name="Flow Name"/>
    <x:tableColumn id="3" name="Business Purpose"/>
    <x:tableColumn id="4" name="Trigger Type"/>
    <x:tableColumn id="5" name="Trigger Source"/>
    <x:tableColumn id="6" name="Primary Tables / Libraries"/>
    <x:tableColumn id="7" name="Owner Role"/>
    <x:tableColumn id="8" name="Run Mode"/>
    <x:tableColumn id="9" name="Priority"/>
    <x:tableColumn id="10" name="Status"/>
    <x:tableColumn id="11" name="Legal Safety Constraint"/>
    <x:tableColumn id="12" name="Primary Output"/>
    <x:tableColumn id="13" name="Acceptance Criteria"/>
  </x:tableColumns>
  <x:tableStyleInfo name="TableStyleMedium2" showRowStripes="1"/>
</x:table>
</file>

<file path=xl/tables/table3.xml><?xml version="1.0" encoding="utf-8"?>
<x:table xmlns:x="http://schemas.openxmlformats.org/spreadsheetml/2006/main" id="3" name="FlowStepsTable" displayName="FlowStepsTable" ref="A1:I35" headerRowCount="1">
  <x:tableColumns count="9">
    <x:tableColumn id="1" name="Flow ID"/>
    <x:tableColumn id="2" name="Step #"/>
    <x:tableColumn id="3" name="Step Name"/>
    <x:tableColumn id="4" name="Action Type"/>
    <x:tableColumn id="5" name="Connector / System"/>
    <x:tableColumn id="6" name="Input"/>
    <x:tableColumn id="7" name="Output"/>
    <x:tableColumn id="8" name="Failure Handling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riggerDetailsTable" displayName="TriggerDetailsTable" ref="A1:I14" headerRowCount="1">
  <x:tableColumns count="9">
    <x:tableColumn id="1" name="Trigger ID"/>
    <x:tableColumn id="2" name="Flow ID"/>
    <x:tableColumn id="3" name="Trigger Name"/>
    <x:tableColumn id="4" name="Trigger Type"/>
    <x:tableColumn id="5" name="Source"/>
    <x:tableColumn id="6" name="Condition / Expression"/>
    <x:tableColumn id="7" name="Debounce / Guardrail"/>
    <x:tableColumn id="8" name="Expected Frequency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InputsOutputsTable" displayName="InputsOutputsTable" ref="A1:G16" headerRowCount="1">
  <x:tableColumns count="7">
    <x:tableColumn id="1" name="Flow ID"/>
    <x:tableColumn id="2" name="Input Entity / File"/>
    <x:tableColumn id="3" name="Input Fields"/>
    <x:tableColumn id="4" name="Output Entity / File"/>
    <x:tableColumn id="5" name="Output Fields"/>
    <x:tableColumn id="6" name="Data Quality Rule"/>
    <x:tableColumn id="7" name="Versioning Requirement"/>
  </x:tableColumns>
  <x:tableStyleInfo name="TableStyleMedium2" showRowStripes="1"/>
</x:table>
</file>

<file path=xl/tables/table6.xml><?xml version="1.0" encoding="utf-8"?>
<x:table xmlns:x="http://schemas.openxmlformats.org/spreadsheetml/2006/main" id="6" name="ApprovalsTable" displayName="ApprovalsTable" ref="A1:I6" headerRowCount="1">
  <x:tableColumns count="9">
    <x:tableColumn id="1" name="Approval ID"/>
    <x:tableColumn id="2" name="Flow ID"/>
    <x:tableColumn id="3" name="Approval Name"/>
    <x:tableColumn id="4" name="Approver Role"/>
    <x:tableColumn id="5" name="Required When"/>
    <x:tableColumn id="6" name="Approval Options"/>
    <x:tableColumn id="7" name="Blocks Drafting?"/>
    <x:tableColumn id="8" name="Override Handling"/>
    <x:tableColumn id="9" name="Audit Fields"/>
  </x:tableColumns>
  <x:tableStyleInfo name="TableStyleMedium2" showRowStripes="1"/>
</x:table>
</file>

<file path=xl/tables/table7.xml><?xml version="1.0" encoding="utf-8"?>
<x:table xmlns:x="http://schemas.openxmlformats.org/spreadsheetml/2006/main" id="7" name="ErrorHandlingTable" displayName="ErrorHandlingTable" ref="A1:H11" headerRowCount="1">
  <x:tableColumns count="8">
    <x:tableColumn id="1" name="Error ID"/>
    <x:tableColumn id="2" name="Category"/>
    <x:tableColumn id="3" name="Applies To Flow(s)"/>
    <x:tableColumn id="4" name="Condition"/>
    <x:tableColumn id="5" name="Severity"/>
    <x:tableColumn id="6" name="User Message"/>
    <x:tableColumn id="7" name="System Action"/>
    <x:tableColumn id="8" name="Escalation"/>
  </x:tableColumns>
  <x:tableStyleInfo name="TableStyleMedium2" showRowStripes="1"/>
</x:table>
</file>

<file path=xl/tables/table8.xml><?xml version="1.0" encoding="utf-8"?>
<x:table xmlns:x="http://schemas.openxmlformats.org/spreadsheetml/2006/main" id="8" name="EnvironmentVarsTable" displayName="EnvironmentVarsTable" ref="A1:G11" headerRowCount="1">
  <x:tableColumns count="7">
    <x:tableColumn id="1" name="Variable Name"/>
    <x:tableColumn id="2" name="Purpose"/>
    <x:tableColumn id="3" name="Example Value"/>
    <x:tableColumn id="4" name="Environment Scope"/>
    <x:tableColumn id="5" name="Secret?"/>
    <x:tableColumn id="6" name="Owner"/>
    <x:tableColumn id="7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MonitoringTable" displayName="MonitoringTable" ref="A1:G12" headerRowCount="1">
  <x:tableColumns count="7">
    <x:tableColumn id="1" name="Flow ID"/>
    <x:tableColumn id="2" name="Run Log Table"/>
    <x:tableColumn id="3" name="Key Metrics"/>
    <x:tableColumn id="4" name="Alert Threshold"/>
    <x:tableColumn id="5" name="Dashboard Tile"/>
    <x:tableColumn id="6" name="Retention"/>
    <x:tableColumn id="7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SamplePayloadsTable" displayName="SamplePayloadsTable" ref="A1:E8" headerRowCount="1">
  <x:tableColumns count="5">
    <x:tableColumn id="1" name="Payload ID"/>
    <x:tableColumn id="2" name="Flow ID"/>
    <x:tableColumn id="3" name="Payload Type"/>
    <x:tableColumn id="4" name="Example JSON / Fields"/>
    <x:tableColumn id="5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DependencyMapTable" displayName="DependencyMapTable" ref="A1:E20" headerRowCount="1">
  <x:tableColumns count="5">
    <x:tableColumn id="1" name="Flow ID"/>
    <x:tableColumn id="2" name="Depends On Artifact(s)"/>
    <x:tableColumn id="3" name="Depends On Flow(s)"/>
    <x:tableColumn id="4" name="Downstream Flow(s)"/>
    <x:tableColumn id="5" name="Build Dependency Notes"/>
  </x:tableColumns>
  <x:tableStyleInfo name="TableStyleMedium2" showRowStripes="1"/>
</x:table>
</file>

<file path=xl/tables/table12.xml><?xml version="1.0" encoding="utf-8"?>
<x:table xmlns:x="http://schemas.openxmlformats.org/spreadsheetml/2006/main" id="12" name="AcceptanceCriteriaTable" displayName="AcceptanceCriteriaTable" ref="A1:F11" headerRowCount="1">
  <x:tableColumns count="6">
    <x:tableColumn id="1" name="Acceptance ID"/>
    <x:tableColumn id="2" name="Flow ID"/>
    <x:tableColumn id="3" name="Test Case / Scenario"/>
    <x:tableColumn id="4" name="Expected Result"/>
    <x:tableColumn id="5" name="Evidence Required"/>
    <x:tableColumn id="6" name="Pass/Fail"/>
  </x:tableColumns>
  <x:tableStyleInfo name="TableStyleMedium2" showRowStripes="1"/>
</x:table>
</file>

<file path=xl/tables/table13.xml><?xml version="1.0" encoding="utf-8"?>
<x:table xmlns:x="http://schemas.openxmlformats.org/spreadsheetml/2006/main" id="13" name="ChangeControlTable" displayName="ChangeControlTable" ref="A1:G2" headerRowCount="1">
  <x:tableColumns count="7">
    <x:tableColumn id="1" name="Version"/>
    <x:tableColumn id="2" name="Date"/>
    <x:tableColumn id="3" name="Change Type"/>
    <x:tableColumn id="4" name="Description"/>
    <x:tableColumn id="5" name="Requested By"/>
    <x:tableColumn id="6" name="Approved By"/>
    <x:tableColumn id="7" name="Impact"/>
  </x:tableColumns>
  <x:tableStyleInfo name="TableStyleMedium2" showRowStripes="1"/>
</x:table>
</file>

<file path=xl/tables/table14.xml><?xml version="1.0" encoding="utf-8"?>
<x:table xmlns:x="http://schemas.openxmlformats.org/spreadsheetml/2006/main" id="14" name="DashboardMetricsTable" displayName="DashboardMetricsTable" ref="A1:B8" headerRowCount="1">
  <x:tableColumns count="2">
    <x:tableColumn id="1" name="Metric"/>
    <x:tableColumn id="2" name="Formula / 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127ed72fed45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68bd2dc6ac4a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e71e50229c04f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3bb2a946e6649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b2b1567330044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8dfb2703be343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9f6d32bce0a49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9383951e95d42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3419a81e4614fa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b727c82cf6242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63a573e86ca42d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c9979dd74ad4fd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0c0041d2cf2437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4e798a2c0c3484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 ht="30" customHeight="1">
      <x:c r="A1" s="6" t="str">
        <x:v>Section</x:v>
      </x:c>
      <x:c r="B1" s="6" t="str">
        <x:v>Description</x:v>
      </x:c>
    </x:row>
    <x:row r="2">
      <x:c r="A2" s="14" t="str">
        <x:v>Artifact</x:v>
      </x:c>
      <x:c r="B2" s="14" t="str">
        <x:v>16_Power_Automate_Flow_Specification.xlsx</x:v>
      </x:c>
    </x:row>
    <x:row r="3">
      <x:c r="A3" s="14" t="str">
        <x:v>Purpose</x:v>
      </x:c>
      <x:c r="B3" s="14" t="str">
        <x:v>Defines the Power Automate flows needed to implement the EP Design Sheet MS 365 / Copilot app architecture.</x:v>
      </x:c>
    </x:row>
    <x:row r="4">
      <x:c r="A4" s="14" t="str">
        <x:v>Scope</x:v>
      </x:c>
      <x:c r="B4" s="14" t="str">
        <x:v>Covers triggers, inputs, outputs, Dataverse/SharePoint actions, approvals, Word-template generation, error handling, monitoring, and acceptance criteria.</x:v>
      </x:c>
    </x:row>
    <x:row r="5">
      <x:c r="A5" s="14" t="str">
        <x:v>Locked Legal Rule</x:v>
      </x:c>
      <x:c r="B5" s="14" t="str">
        <x:v>Power Automate may automate routing, scoring, alerts, and document generation, but cannot finalize legal design. Layer 4 attorney confirmation controls drafting readiness.</x:v>
      </x:c>
    </x:row>
    <x:row r="6">
      <x:c r="A6" s="14" t="str">
        <x:v>Locked AIP/MAPT Rule</x:v>
      </x:c>
      <x:c r="B6" s="14" t="str">
        <x:v>EP-AIP.0, EP-AIP.1, and EP-AIP.2 do not include MAPT planning. MAPT routes to EP-APP and MAPT-specific flows only.</x:v>
      </x:c>
    </x:row>
    <x:row r="7">
      <x:c r="A7" s="14" t="str">
        <x:v>Clause Naming Rule</x:v>
      </x:c>
      <x:c r="B7" s="14" t="str">
        <x:v>Legacy clause names are reference metadata only. Flows must use locked-system clause IDs and temporary system names until final approved clause names exist.</x:v>
      </x:c>
    </x:row>
    <x:row r="8">
      <x:c r="A8" s="14" t="str">
        <x:v>Generated</x:v>
      </x:c>
      <x:c r="B8" s="14" t="str">
        <x:v>2026-05-05 12:38</x:v>
      </x:c>
    </x:row>
  </x:sheetData>
  <x:pageMargins left="0.7" right="0.7" top="0.75" bottom="0.75" header="0.3" footer="0.3"/>
  <x:tableParts count="1">
    <x:tablePart xmlns:r="http://schemas.openxmlformats.org/officeDocument/2006/relationships" r:id="R54127ed72fed456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42" hidden="0" customWidth="1"/>
    <x:col min="4" max="4" width="18" hidden="0" customWidth="1"/>
    <x:col min="5" max="5" width="32" hidden="0" customWidth="1"/>
    <x:col min="6" max="6" width="36" hidden="0" customWidth="1"/>
    <x:col min="7" max="7" width="22" hidden="0" customWidth="1"/>
    <x:col min="8" max="8" width="14" hidden="0" customWidth="1"/>
    <x:col min="9" max="9" width="12" hidden="0" customWidth="1"/>
    <x:col min="10" max="10" width="18" hidden="0" customWidth="1"/>
    <x:col min="11" max="11" width="42" hidden="0" customWidth="1"/>
    <x:col min="12" max="12" width="30" hidden="0" customWidth="1"/>
    <x:col min="13" max="13" width="48" hidden="0" customWidth="1"/>
  </x:cols>
  <x:sheetData>
    <x:row r="1" ht="30" customHeight="1">
      <x:c r="A1" s="6" t="str">
        <x:v>Flow ID</x:v>
      </x:c>
      <x:c r="B1" s="6" t="str">
        <x:v>Flow Name</x:v>
      </x:c>
      <x:c r="C1" s="6" t="str">
        <x:v>Business Purpose</x:v>
      </x:c>
      <x:c r="D1" s="6" t="str">
        <x:v>Trigger Type</x:v>
      </x:c>
      <x:c r="E1" s="6" t="str">
        <x:v>Trigger Source</x:v>
      </x:c>
      <x:c r="F1" s="6" t="str">
        <x:v>Primary Tables / Libraries</x:v>
      </x:c>
      <x:c r="G1" s="6" t="str">
        <x:v>Owner Role</x:v>
      </x:c>
      <x:c r="H1" s="6" t="str">
        <x:v>Run Mode</x:v>
      </x:c>
      <x:c r="I1" s="6" t="str">
        <x:v>Priority</x:v>
      </x:c>
      <x:c r="J1" s="6" t="str">
        <x:v>Status</x:v>
      </x:c>
      <x:c r="K1" s="6" t="str">
        <x:v>Legal Safety Constraint</x:v>
      </x:c>
      <x:c r="L1" s="6" t="str">
        <x:v>Primary Output</x:v>
      </x:c>
      <x:c r="M1" s="6" t="str">
        <x:v>Acceptance Criteria</x:v>
      </x:c>
    </x:row>
    <x:row r="2">
      <x:c r="A2" s="14" t="str">
        <x:v>PA-001</x:v>
      </x:c>
      <x:c r="B2" s="14" t="str">
        <x:v>Create Matter Workspace</x:v>
      </x:c>
      <x:c r="C2" s="14" t="str">
        <x:v>Create a structured workspace when a matter is opened and seed required matter records.</x:v>
      </x:c>
      <x:c r="D2" s="14" t="str">
        <x:v>Automated</x:v>
      </x:c>
      <x:c r="E2" s="14" t="str">
        <x:v>New Matter record created</x:v>
      </x:c>
      <x:c r="F2" s="14" t="str">
        <x:v>Matter; Client; SharePoint Matter Library</x:v>
      </x:c>
      <x:c r="G2" s="14" t="str">
        <x:v>Intake Staff / System</x:v>
      </x:c>
      <x:c r="H2" s="14" t="str">
        <x:v>Instant</x:v>
      </x:c>
      <x:c r="I2" s="14" t="str">
        <x:v>High</x:v>
      </x:c>
      <x:c r="J2" s="14" t="str">
        <x:v>Build Required</x:v>
      </x:c>
      <x:c r="K2" s="14" t="str">
        <x:v>Does not assign final plan/scenario.</x:v>
      </x:c>
      <x:c r="L2" s="14" t="str">
        <x:v>Matter folder, base records, status = Intake Pending</x:v>
      </x:c>
      <x:c r="M2" s="14" t="str">
        <x:v>New matter produces folder, record set, audit entry, and no legal recommendation.</x:v>
      </x:c>
    </x:row>
    <x:row r="3">
      <x:c r="A3" s="14" t="str">
        <x:v>PA-002</x:v>
      </x:c>
      <x:c r="B3" s="14" t="str">
        <x:v>Pre-Interview Review Gate</x:v>
      </x:c>
      <x:c r="C3" s="14" t="str">
        <x:v>Evaluate intake facts before design interview and determine associate/senior review readiness.</x:v>
      </x:c>
      <x:c r="D3" s="14" t="str">
        <x:v>Automated + Manual Review</x:v>
      </x:c>
      <x:c r="E3" s="14" t="str">
        <x:v>Pre-Interview Checklist completed</x:v>
      </x:c>
      <x:c r="F3" s="14" t="str">
        <x:v>Matter; Intake Review; Senior Review Flags</x:v>
      </x:c>
      <x:c r="G3" s="14" t="str">
        <x:v>Associate Attorney</x:v>
      </x:c>
      <x:c r="H3" s="14" t="str">
        <x:v>Instant</x:v>
      </x:c>
      <x:c r="I3" s="14" t="str">
        <x:v>High</x:v>
      </x:c>
      <x:c r="J3" s="14" t="str">
        <x:v>Build Required</x:v>
      </x:c>
      <x:c r="K3" s="14" t="str">
        <x:v>Flags only; cannot clear senior review without authorized role.</x:v>
      </x:c>
      <x:c r="L3" s="14" t="str">
        <x:v>Pre-interview status; review flags</x:v>
      </x:c>
      <x:c r="M3" s="14" t="str">
        <x:v>Tax, MAPT, blended, disabled beneficiary, and conflict flags appear correctly.</x:v>
      </x:c>
    </x:row>
    <x:row r="4">
      <x:c r="A4" s="14" t="str">
        <x:v>PA-003</x:v>
      </x:c>
      <x:c r="B4" s="14" t="str">
        <x:v>Priority Score Calculation</x:v>
      </x:c>
      <x:c r="C4" s="14" t="str">
        <x:v>Translate client priority selections into P-code scores.</x:v>
      </x:c>
      <x:c r="D4" s="14" t="str">
        <x:v>Automated</x:v>
      </x:c>
      <x:c r="E4" s="14" t="str">
        <x:v>Priority intake submitted/updated</x:v>
      </x:c>
      <x:c r="F4" s="14" t="str">
        <x:v>Priority Selection; Priority Score</x:v>
      </x:c>
      <x:c r="G4" s="14" t="str">
        <x:v>System</x:v>
      </x:c>
      <x:c r="H4" s="14" t="str">
        <x:v>Instant</x:v>
      </x:c>
      <x:c r="I4" s="14" t="str">
        <x:v>High</x:v>
      </x:c>
      <x:c r="J4" s="14" t="str">
        <x:v>Build Required</x:v>
      </x:c>
      <x:c r="K4" s="14" t="str">
        <x:v>Scores recommend; do not finalize legal design.</x:v>
      </x:c>
      <x:c r="L4" s="14" t="str">
        <x:v>P-code score profile</x:v>
      </x:c>
      <x:c r="M4" s="14" t="str">
        <x:v>P-code totals match 12C/12E expected calculations.</x:v>
      </x:c>
    </x:row>
    <x:row r="5">
      <x:c r="A5" s="14" t="str">
        <x:v>PA-004</x:v>
      </x:c>
      <x:c r="B5" s="14" t="str">
        <x:v>Routing Rules Evaluation</x:v>
      </x:c>
      <x:c r="C5" s="14" t="str">
        <x:v>Apply deterministic routing rules and exclusions to determine track, plan eligibility, and senior-review flags.</x:v>
      </x:c>
      <x:c r="D5" s="14" t="str">
        <x:v>Automated</x:v>
      </x:c>
      <x:c r="E5" s="14" t="str">
        <x:v>Family baseline or intake data changed</x:v>
      </x:c>
      <x:c r="F5" s="14" t="str">
        <x:v>Matter; Routing Result; Rule Evaluation Log</x:v>
      </x:c>
      <x:c r="G5" s="14" t="str">
        <x:v>System</x:v>
      </x:c>
      <x:c r="H5" s="14" t="str">
        <x:v>Instant</x:v>
      </x:c>
      <x:c r="I5" s="14" t="str">
        <x:v>High</x:v>
      </x:c>
      <x:c r="J5" s="14" t="str">
        <x:v>Build Required</x:v>
      </x:c>
      <x:c r="K5" s="14" t="str">
        <x:v>Hard gates override scoring.</x:v>
      </x:c>
      <x:c r="L5" s="14" t="str">
        <x:v>Routing result and rule log</x:v>
      </x:c>
      <x:c r="M5" s="14" t="str">
        <x:v>MAPT excludes EP-AIP; TAX-3 forces senior review; blended flags fire.</x:v>
      </x:c>
    </x:row>
    <x:row r="6">
      <x:c r="A6" s="14" t="str">
        <x:v>PA-005</x:v>
      </x:c>
      <x:c r="B6" s="14" t="str">
        <x:v>Module State Transition</x:v>
      </x:c>
      <x:c r="C6" s="14" t="str">
        <x:v>Advance, skip, or reopen interview modules based on entry/exit/skip conditions.</x:v>
      </x:c>
      <x:c r="D6" s="14" t="str">
        <x:v>Automated</x:v>
      </x:c>
      <x:c r="E6" s="14" t="str">
        <x:v>Module completed or answer updated</x:v>
      </x:c>
      <x:c r="F6" s="14" t="str">
        <x:v>Interview Module; Answer; Module State</x:v>
      </x:c>
      <x:c r="G6" s="14" t="str">
        <x:v>Associate Attorney / System</x:v>
      </x:c>
      <x:c r="H6" s="14" t="str">
        <x:v>Instant</x:v>
      </x:c>
      <x:c r="I6" s="14" t="str">
        <x:v>High</x:v>
      </x:c>
      <x:c r="J6" s="14" t="str">
        <x:v>Build Required</x:v>
      </x:c>
      <x:c r="K6" s="14" t="str">
        <x:v>Does not skip required legal modules without recorded rule.</x:v>
      </x:c>
      <x:c r="L6" s="14" t="str">
        <x:v>Next module state</x:v>
      </x:c>
      <x:c r="M6" s="14" t="str">
        <x:v>Module flow matches 12H sample flow runs.</x:v>
      </x:c>
    </x:row>
    <x:row r="7">
      <x:c r="A7" s="14" t="str">
        <x:v>PA-006</x:v>
      </x:c>
      <x:c r="B7" s="14" t="str">
        <x:v>Scenario Recommendation Engine</x:v>
      </x:c>
      <x:c r="C7" s="14" t="str">
        <x:v>Combine scoring and routing to produce candidate plan/scenario recommendations with confidence.</x:v>
      </x:c>
      <x:c r="D7" s="14" t="str">
        <x:v>Automated</x:v>
      </x:c>
      <x:c r="E7" s="14" t="str">
        <x:v>Scoring/routing complete</x:v>
      </x:c>
      <x:c r="F7" s="14" t="str">
        <x:v>Scenario Score; Routing Result; Matter</x:v>
      </x:c>
      <x:c r="G7" s="14" t="str">
        <x:v>System</x:v>
      </x:c>
      <x:c r="H7" s="14" t="str">
        <x:v>Instant</x:v>
      </x:c>
      <x:c r="I7" s="14" t="str">
        <x:v>High</x:v>
      </x:c>
      <x:c r="J7" s="14" t="str">
        <x:v>Build Required</x:v>
      </x:c>
      <x:c r="K7" s="14" t="str">
        <x:v>Recommendation only; Layer 4 confirmation required.</x:v>
      </x:c>
      <x:c r="L7" s="14" t="str">
        <x:v>Candidate scenario, confidence, rationale</x:v>
      </x:c>
      <x:c r="M7" s="14" t="str">
        <x:v>High/medium/low confidence thresholds match 12E.</x:v>
      </x:c>
    </x:row>
    <x:row r="8">
      <x:c r="A8" s="14" t="str">
        <x:v>PA-007</x:v>
      </x:c>
      <x:c r="B8" s="14" t="str">
        <x:v>Clause Trigger Evaluation</x:v>
      </x:c>
      <x:c r="C8" s="14" t="str">
        <x:v>Translate selected answers and candidate scenarios into clause concepts, review flags, and placeholders.</x:v>
      </x:c>
      <x:c r="D8" s="14" t="str">
        <x:v>Automated</x:v>
      </x:c>
      <x:c r="E8" s="14" t="str">
        <x:v>Scenario recommendation updated or answers changed</x:v>
      </x:c>
      <x:c r="F8" s="14" t="str">
        <x:v>Clause Trigger; Clause Mapping; Legacy Crosswalk</x:v>
      </x:c>
      <x:c r="G8" s="14" t="str">
        <x:v>System</x:v>
      </x:c>
      <x:c r="H8" s="14" t="str">
        <x:v>Instant</x:v>
      </x:c>
      <x:c r="I8" s="14" t="str">
        <x:v>High</x:v>
      </x:c>
      <x:c r="J8" s="14" t="str">
        <x:v>Build Required</x:v>
      </x:c>
      <x:c r="K8" s="14" t="str">
        <x:v>Placeholder clauses cannot be treated as approved.</x:v>
      </x:c>
      <x:c r="L8" s="14" t="str">
        <x:v>Clause trigger list</x:v>
      </x:c>
      <x:c r="M8" s="14" t="str">
        <x:v>Legacy names stored as metadata; approved/placeholder status respected.</x:v>
      </x:c>
    </x:row>
    <x:row r="9">
      <x:c r="A9" s="14" t="str">
        <x:v>PA-008</x:v>
      </x:c>
      <x:c r="B9" s="14" t="str">
        <x:v>QC and Alert Evaluation</x:v>
      </x:c>
      <x:c r="C9" s="14" t="str">
        <x:v>Run validation, conflict, homework, and blocker checks across the matter.</x:v>
      </x:c>
      <x:c r="D9" s="14" t="str">
        <x:v>Automated</x:v>
      </x:c>
      <x:c r="E9" s="14" t="str">
        <x:v>Answer, scenario, or clause trigger updated</x:v>
      </x:c>
      <x:c r="F9" s="14" t="str">
        <x:v>QC Alert; Matter; Answer; Clause Trigger</x:v>
      </x:c>
      <x:c r="G9" s="14" t="str">
        <x:v>System</x:v>
      </x:c>
      <x:c r="H9" s="14" t="str">
        <x:v>Instant</x:v>
      </x:c>
      <x:c r="I9" s="14" t="str">
        <x:v>High</x:v>
      </x:c>
      <x:c r="J9" s="14" t="str">
        <x:v>Build Required</x:v>
      </x:c>
      <x:c r="K9" s="14" t="str">
        <x:v>Blocks drafting if incomplete or unsafe.</x:v>
      </x:c>
      <x:c r="L9" s="14" t="str">
        <x:v>Alert list and matter QC status</x:v>
      </x:c>
      <x:c r="M9" s="14" t="str">
        <x:v>Conflicts and blockers match 12Q and 10 QC rules.</x:v>
      </x:c>
    </x:row>
    <x:row r="10">
      <x:c r="A10" s="14" t="str">
        <x:v>PA-009</x:v>
      </x:c>
      <x:c r="B10" s="14" t="str">
        <x:v>Attorney Confirmation Approval</x:v>
      </x:c>
      <x:c r="C10" s="14" t="str">
        <x:v>Route final design recommendation to attorney for accept, modify, or override decision.</x:v>
      </x:c>
      <x:c r="D10" s="14" t="str">
        <x:v>Approval</x:v>
      </x:c>
      <x:c r="E10" s="14" t="str">
        <x:v>Attorney starts final confirmation</x:v>
      </x:c>
      <x:c r="F10" s="14" t="str">
        <x:v>Attorney Confirmation; Matter; Scenario</x:v>
      </x:c>
      <x:c r="G10" s="14" t="str">
        <x:v>Associate / Senior Attorney</x:v>
      </x:c>
      <x:c r="H10" s="14" t="str">
        <x:v>Approval</x:v>
      </x:c>
      <x:c r="I10" s="14" t="str">
        <x:v>High</x:v>
      </x:c>
      <x:c r="J10" s="14" t="str">
        <x:v>Build Required</x:v>
      </x:c>
      <x:c r="K10" s="14" t="str">
        <x:v>Only authorized attorney may mark Drafting Ready.</x:v>
      </x:c>
      <x:c r="L10" s="14" t="str">
        <x:v>Confirmed plan/scenario; override record</x:v>
      </x:c>
      <x:c r="M10" s="14" t="str">
        <x:v>Override reason required when recommendation is changed.</x:v>
      </x:c>
    </x:row>
    <x:row r="11">
      <x:c r="A11" s="14" t="str">
        <x:v>PA-010</x:v>
      </x:c>
      <x:c r="B11" s="14" t="str">
        <x:v>Senior Review Request and Clearance</x:v>
      </x:c>
      <x:c r="C11" s="14" t="str">
        <x:v>Create senior review task when high-risk flags are present and record clearance.</x:v>
      </x:c>
      <x:c r="D11" s="14" t="str">
        <x:v>Approval</x:v>
      </x:c>
      <x:c r="E11" s="14" t="str">
        <x:v>Senior review flag created</x:v>
      </x:c>
      <x:c r="F11" s="14" t="str">
        <x:v>Senior Review; Task; Matter</x:v>
      </x:c>
      <x:c r="G11" s="14" t="str">
        <x:v>Senior Attorney</x:v>
      </x:c>
      <x:c r="H11" s="14" t="str">
        <x:v>Approval</x:v>
      </x:c>
      <x:c r="I11" s="14" t="str">
        <x:v>High</x:v>
      </x:c>
      <x:c r="J11" s="14" t="str">
        <x:v>Build Required</x:v>
      </x:c>
      <x:c r="K11" s="14" t="str">
        <x:v>Drafting-ready status blocked until clearance.</x:v>
      </x:c>
      <x:c r="L11" s="14" t="str">
        <x:v>Senior review status and notes</x:v>
      </x:c>
      <x:c r="M11" s="14" t="str">
        <x:v>TAX-3, MAPT, blended conflict, disabled beneficiary flags block until cleared.</x:v>
      </x:c>
    </x:row>
    <x:row r="12">
      <x:c r="A12" s="14" t="str">
        <x:v>PA-011</x:v>
      </x:c>
      <x:c r="B12" s="14" t="str">
        <x:v>Generate Attorney Design Summary</x:v>
      </x:c>
      <x:c r="C12" s="14" t="str">
        <x:v>Generate attorney-facing Word/PDF summary after confirmation or for review.</x:v>
      </x:c>
      <x:c r="D12" s="14" t="str">
        <x:v>Automated + On Demand</x:v>
      </x:c>
      <x:c r="E12" s="14" t="str">
        <x:v>Confirmed design or request</x:v>
      </x:c>
      <x:c r="F12" s="14" t="str">
        <x:v>Output Template; Matter; Confirmation</x:v>
      </x:c>
      <x:c r="G12" s="14" t="str">
        <x:v>Associate / Senior Attorney</x:v>
      </x:c>
      <x:c r="H12" s="14" t="str">
        <x:v>Instant</x:v>
      </x:c>
      <x:c r="I12" s="14" t="str">
        <x:v>Medium</x:v>
      </x:c>
      <x:c r="J12" s="14" t="str">
        <x:v>Build Required</x:v>
      </x:c>
      <x:c r="K12" s="14" t="str">
        <x:v>Document must show recommendation vs final confirmation.</x:v>
      </x:c>
      <x:c r="L12" s="14" t="str">
        <x:v>Attorney Design Summary DOCX/PDF</x:v>
      </x:c>
      <x:c r="M12" s="14" t="str">
        <x:v>Merge fields populate from 12O map; version snapshot included.</x:v>
      </x:c>
    </x:row>
    <x:row r="13">
      <x:c r="A13" s="14" t="str">
        <x:v>PA-012</x:v>
      </x:c>
      <x:c r="B13" s="14" t="str">
        <x:v>Generate Paralegal Drafting Handoff</x:v>
      </x:c>
      <x:c r="C13" s="14" t="str">
        <x:v>Generate drafting handoff after Layer 4 attorney confirmation.</x:v>
      </x:c>
      <x:c r="D13" s="14" t="str">
        <x:v>Automated + On Demand</x:v>
      </x:c>
      <x:c r="E13" s="14" t="str">
        <x:v>Matter status = Drafting Ready</x:v>
      </x:c>
      <x:c r="F13" s="14" t="str">
        <x:v>Output Template; Clause Trigger; Handoff</x:v>
      </x:c>
      <x:c r="G13" s="14" t="str">
        <x:v>Paralegal / System</x:v>
      </x:c>
      <x:c r="H13" s="14" t="str">
        <x:v>Instant</x:v>
      </x:c>
      <x:c r="I13" s="14" t="str">
        <x:v>High</x:v>
      </x:c>
      <x:c r="J13" s="14" t="str">
        <x:v>Build Required</x:v>
      </x:c>
      <x:c r="K13" s="14" t="str">
        <x:v>Cannot run unless Drafting Ready and no blockers.</x:v>
      </x:c>
      <x:c r="L13" s="14" t="str">
        <x:v>Drafting Handoff DOCX/PDF</x:v>
      </x:c>
      <x:c r="M13" s="14" t="str">
        <x:v>Output includes documents, clauses, flags, proofing notes, and homework.</x:v>
      </x:c>
    </x:row>
    <x:row r="14">
      <x:c r="A14" s="14" t="str">
        <x:v>PA-013</x:v>
      </x:c>
      <x:c r="B14" s="14" t="str">
        <x:v>Generate Client Homework List</x:v>
      </x:c>
      <x:c r="C14" s="14" t="str">
        <x:v>Create client/staff homework based on missing fields and funding/beneficiary designation issues.</x:v>
      </x:c>
      <x:c r="D14" s="14" t="str">
        <x:v>Automated + On Demand</x:v>
      </x:c>
      <x:c r="E14" s="14" t="str">
        <x:v>QC alert or homework item created</x:v>
      </x:c>
      <x:c r="F14" s="14" t="str">
        <x:v>Homework; Matter; Output Template</x:v>
      </x:c>
      <x:c r="G14" s="14" t="str">
        <x:v>Intake Staff / Paralegal</x:v>
      </x:c>
      <x:c r="H14" s="14" t="str">
        <x:v>Instant</x:v>
      </x:c>
      <x:c r="I14" s="14" t="str">
        <x:v>Medium</x:v>
      </x:c>
      <x:c r="J14" s="14" t="str">
        <x:v>Build Required</x:v>
      </x:c>
      <x:c r="K14" s="14" t="str">
        <x:v>No legal advice beyond approved wording.</x:v>
      </x:c>
      <x:c r="L14" s="14" t="str">
        <x:v>Client Homework List</x:v>
      </x:c>
      <x:c r="M14" s="14" t="str">
        <x:v>Open items grouped by client/staff/paralegal responsibility.</x:v>
      </x:c>
    </x:row>
    <x:row r="15">
      <x:c r="A15" s="14" t="str">
        <x:v>PA-014</x:v>
      </x:c>
      <x:c r="B15" s="14" t="str">
        <x:v>Beneficiary Designation Review Workflow</x:v>
      </x:c>
      <x:c r="C15" s="14" t="str">
        <x:v>Coordinate IRA, life insurance, annuity, TOD/POD, and joint account review with final plan.</x:v>
      </x:c>
      <x:c r="D15" s="14" t="str">
        <x:v>Automated + Manual Review</x:v>
      </x:c>
      <x:c r="E15" s="14" t="str">
        <x:v>Beneficiary-designation asset identified</x:v>
      </x:c>
      <x:c r="F15" s="14" t="str">
        <x:v>Beneficiary Designation Review; Asset; Matter</x:v>
      </x:c>
      <x:c r="G15" s="14" t="str">
        <x:v>Paralegal / Attorney</x:v>
      </x:c>
      <x:c r="H15" s="14" t="str">
        <x:v>Instant</x:v>
      </x:c>
      <x:c r="I15" s="14" t="str">
        <x:v>High</x:v>
      </x:c>
      <x:c r="J15" s="14" t="str">
        <x:v>Build Required</x:v>
      </x:c>
      <x:c r="K15" s="14" t="str">
        <x:v>Conflicts do not automatically change beneficiary forms.</x:v>
      </x:c>
      <x:c r="L15" s="14" t="str">
        <x:v>Review checklist and conflict alerts</x:v>
      </x:c>
      <x:c r="M15" s="14" t="str">
        <x:v>Conflicts between design and beneficiary forms are flagged.</x:v>
      </x:c>
    </x:row>
    <x:row r="16">
      <x:c r="A16" s="14" t="str">
        <x:v>PA-015</x:v>
      </x:c>
      <x:c r="B16" s="14" t="str">
        <x:v>MAPT Funding Review Workflow</x:v>
      </x:c>
      <x:c r="C16" s="14" t="str">
        <x:v>Coordinate EP-APP MAPT asset transfer, tax/title warnings, and funding checklist.</x:v>
      </x:c>
      <x:c r="D16" s="14" t="str">
        <x:v>Automated + Manual Review</x:v>
      </x:c>
      <x:c r="E16" s="14" t="str">
        <x:v>EP-APP selected or MAPT funding module completed</x:v>
      </x:c>
      <x:c r="F16" s="14" t="str">
        <x:v>MAPT Funding; Asset; Review Flag</x:v>
      </x:c>
      <x:c r="G16" s="14" t="str">
        <x:v>Senior Attorney / Paralegal</x:v>
      </x:c>
      <x:c r="H16" s="14" t="str">
        <x:v>Instant</x:v>
      </x:c>
      <x:c r="I16" s="14" t="str">
        <x:v>High</x:v>
      </x:c>
      <x:c r="J16" s="14" t="str">
        <x:v>Build Required</x:v>
      </x:c>
      <x:c r="K16" s="14" t="str">
        <x:v>Only EP-APP may trigger MAPT funding. Never EP-AIP.</x:v>
      </x:c>
      <x:c r="L16" s="14" t="str">
        <x:v>MAPT funding checklist and review flags</x:v>
      </x:c>
      <x:c r="M16" s="14" t="str">
        <x:v>Residence/exemption/title/lookback flags appear correctly.</x:v>
      </x:c>
    </x:row>
    <x:row r="17">
      <x:c r="A17" s="14" t="str">
        <x:v>PA-016</x:v>
      </x:c>
      <x:c r="B17" s="14" t="str">
        <x:v>Clause Placeholder Review Workflow</x:v>
      </x:c>
      <x:c r="C17" s="14" t="str">
        <x:v>Route placeholder or legacy-only clause concepts for attorney review before drafting.</x:v>
      </x:c>
      <x:c r="D17" s="14" t="str">
        <x:v>Automated</x:v>
      </x:c>
      <x:c r="E17" s="14" t="str">
        <x:v>Clause status = Placeholder or Needs Review</x:v>
      </x:c>
      <x:c r="F17" s="14" t="str">
        <x:v>Clause Trigger; Legacy Crosswalk; Task</x:v>
      </x:c>
      <x:c r="G17" s="14" t="str">
        <x:v>Senior Attorney</x:v>
      </x:c>
      <x:c r="H17" s="14" t="str">
        <x:v>Instant</x:v>
      </x:c>
      <x:c r="I17" s="14" t="str">
        <x:v>Medium</x:v>
      </x:c>
      <x:c r="J17" s="14" t="str">
        <x:v>Build Required</x:v>
      </x:c>
      <x:c r="K17" s="14" t="str">
        <x:v>Legacy clause name cannot approve clause use.</x:v>
      </x:c>
      <x:c r="L17" s="14" t="str">
        <x:v>Clause review task</x:v>
      </x:c>
      <x:c r="M17" s="14" t="str">
        <x:v>All placeholder/legacy-only clauses require attorney review.</x:v>
      </x:c>
    </x:row>
    <x:row r="18">
      <x:c r="A18" s="14" t="str">
        <x:v>PA-017</x:v>
      </x:c>
      <x:c r="B18" s="14" t="str">
        <x:v>Version Snapshot on Confirmation</x:v>
      </x:c>
      <x:c r="C18" s="14" t="str">
        <x:v>Capture scoring, routing, option set, and clause-mapping version at attorney confirmation.</x:v>
      </x:c>
      <x:c r="D18" s="14" t="str">
        <x:v>Automated</x:v>
      </x:c>
      <x:c r="E18" s="14" t="str">
        <x:v>Attorney Confirmation finalized</x:v>
      </x:c>
      <x:c r="F18" s="14" t="str">
        <x:v>Matter Snapshot; Version Log</x:v>
      </x:c>
      <x:c r="G18" s="14" t="str">
        <x:v>System</x:v>
      </x:c>
      <x:c r="H18" s="14" t="str">
        <x:v>Instant</x:v>
      </x:c>
      <x:c r="I18" s="14" t="str">
        <x:v>High</x:v>
      </x:c>
      <x:c r="J18" s="14" t="str">
        <x:v>Build Required</x:v>
      </x:c>
      <x:c r="K18" s="14" t="str">
        <x:v>Historical matters retain version used at confirmation.</x:v>
      </x:c>
      <x:c r="L18" s="14" t="str">
        <x:v>Immutable confirmation snapshot</x:v>
      </x:c>
      <x:c r="M18" s="14" t="str">
        <x:v>Snapshot includes version IDs and cannot be overwritten by future logic updates.</x:v>
      </x:c>
    </x:row>
    <x:row r="19">
      <x:c r="A19" s="14" t="str">
        <x:v>PA-018</x:v>
      </x:c>
      <x:c r="B19" s="14" t="str">
        <x:v>Matter Status Notification</x:v>
      </x:c>
      <x:c r="C19" s="14" t="str">
        <x:v>Notify responsible users when matter status changes or review task is created.</x:v>
      </x:c>
      <x:c r="D19" s="14" t="str">
        <x:v>Automated</x:v>
      </x:c>
      <x:c r="E19" s="14" t="str">
        <x:v>Matter status or task changed</x:v>
      </x:c>
      <x:c r="F19" s="14" t="str">
        <x:v>Task; Outlook/Teams; Matter</x:v>
      </x:c>
      <x:c r="G19" s="14" t="str">
        <x:v>System</x:v>
      </x:c>
      <x:c r="H19" s="14" t="str">
        <x:v>Instant</x:v>
      </x:c>
      <x:c r="I19" s="14" t="str">
        <x:v>Medium</x:v>
      </x:c>
      <x:c r="J19" s="14" t="str">
        <x:v>Build Optional</x:v>
      </x:c>
      <x:c r="K19" s="14" t="str">
        <x:v>No confidential data beyond approved summary in notification.</x:v>
      </x:c>
      <x:c r="L19" s="14" t="str">
        <x:v>Teams/Outlook notification</x:v>
      </x:c>
      <x:c r="M19" s="14" t="str">
        <x:v>Right user receives concise status and action link.</x:v>
      </x:c>
    </x:row>
    <x:row r="20">
      <x:c r="A20" s="14" t="str">
        <x:v>PA-019</x:v>
      </x:c>
      <x:c r="B20" s="14" t="str">
        <x:v>Nightly Data Quality Audit</x:v>
      </x:c>
      <x:c r="C20" s="14" t="str">
        <x:v>Detect stale matters, missing required fields, unresolved blockers, or broken mappings.</x:v>
      </x:c>
      <x:c r="D20" s="14" t="str">
        <x:v>Scheduled</x:v>
      </x:c>
      <x:c r="E20" s="14" t="str">
        <x:v>Nightly schedule</x:v>
      </x:c>
      <x:c r="F20" s="14" t="str">
        <x:v>Matter; QC Alert; Clause Mapping; Option Sets</x:v>
      </x:c>
      <x:c r="G20" s="14" t="str">
        <x:v>System Admin</x:v>
      </x:c>
      <x:c r="H20" s="14" t="str">
        <x:v>Scheduled</x:v>
      </x:c>
      <x:c r="I20" s="14" t="str">
        <x:v>Medium</x:v>
      </x:c>
      <x:c r="J20" s="14" t="str">
        <x:v>Build Optional</x:v>
      </x:c>
      <x:c r="K20" s="14" t="str">
        <x:v>Audit flags only; no legal changes.</x:v>
      </x:c>
      <x:c r="L20" s="14" t="str">
        <x:v>Audit report and admin tasks</x:v>
      </x:c>
      <x:c r="M20" s="14" t="str">
        <x:v>Report lists matters with unresolved blockers or stale approvals.</x:v>
      </x:c>
    </x:row>
    <x:row r="21">
      <x:c r="A21" s="14" t="str">
        <x:v>PA-020</x:v>
      </x:c>
      <x:c r="B21" s="14" t="str">
        <x:v>Engineering Package Backup</x:v>
      </x:c>
      <x:c r="C21" s="14" t="str">
        <x:v>Export key build tables and documents for backup/change-control archive.</x:v>
      </x:c>
      <x:c r="D21" s="14" t="str">
        <x:v>Scheduled / On Demand</x:v>
      </x:c>
      <x:c r="E21" s="14" t="str">
        <x:v>Weekly or admin request</x:v>
      </x:c>
      <x:c r="F21" s="14" t="str">
        <x:v>Dataverse/SharePoint tables; Artifact library</x:v>
      </x:c>
      <x:c r="G21" s="14" t="str">
        <x:v>Admin / System</x:v>
      </x:c>
      <x:c r="H21" s="14" t="str">
        <x:v>Scheduled</x:v>
      </x:c>
      <x:c r="I21" s="14" t="str">
        <x:v>Low</x:v>
      </x:c>
      <x:c r="J21" s="14" t="str">
        <x:v>Build Optional</x:v>
      </x:c>
      <x:c r="K21" s="14" t="str">
        <x:v>Does not alter legal content.</x:v>
      </x:c>
      <x:c r="L21" s="14" t="str">
        <x:v>Backup package and manifest</x:v>
      </x:c>
      <x:c r="M21" s="14" t="str">
        <x:v>Exports named tables/files with timestamp and version.</x:v>
      </x:c>
    </x:row>
  </x:sheetData>
  <x:conditionalFormatting sqref="I2:I100">
    <x:cfRule type="expression" dxfId="0" priority="1">
      <x:formula>I2="High"</x:formula>
    </x:cfRule>
  </x:conditionalFormatting>
  <x:conditionalFormatting sqref="J2:J100">
    <x:cfRule type="expression" dxfId="1" priority="2">
      <x:formula>J2="Build Required"</x:formula>
    </x:cfRule>
    <x:cfRule type="expression" dxfId="2" priority="3">
      <x:formula>J2="Build Optional"</x:formula>
    </x:cfRule>
  </x:conditionalFormatting>
  <x:dataValidations count="2">
    <x:dataValidation type="list" sqref="I2:I100">
      <x:formula1>"High,Medium,Low"</x:formula1>
    </x:dataValidation>
    <x:dataValidation type="list" sqref="J2:J100">
      <x:formula1>"Build Required,Build Optional,Future,Deprecated"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68bd2dc6ac4ad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32" hidden="0" customWidth="1"/>
    <x:col min="4" max="4" width="24" hidden="0" customWidth="1"/>
    <x:col min="5" max="5" width="30" hidden="0" customWidth="1"/>
    <x:col min="6" max="6" width="32" hidden="0" customWidth="1"/>
    <x:col min="7" max="7" width="32" hidden="0" customWidth="1"/>
    <x:col min="8" max="8" width="32" hidden="0" customWidth="1"/>
    <x:col min="9" max="9" width="42" hidden="0" customWidth="1"/>
  </x:cols>
  <x:sheetData>
    <x:row r="1" ht="30" customHeight="1">
      <x:c r="A1" s="6" t="str">
        <x:v>Flow ID</x:v>
      </x:c>
      <x:c r="B1" s="6" t="str">
        <x:v>Step #</x:v>
      </x:c>
      <x:c r="C1" s="6" t="str">
        <x:v>Step Name</x:v>
      </x:c>
      <x:c r="D1" s="6" t="str">
        <x:v>Action Type</x:v>
      </x:c>
      <x:c r="E1" s="6" t="str">
        <x:v>Connector / System</x:v>
      </x:c>
      <x:c r="F1" s="6" t="str">
        <x:v>Input</x:v>
      </x:c>
      <x:c r="G1" s="6" t="str">
        <x:v>Output</x:v>
      </x:c>
      <x:c r="H1" s="6" t="str">
        <x:v>Failure Handling</x:v>
      </x:c>
      <x:c r="I1" s="6" t="str">
        <x:v>Notes</x:v>
      </x:c>
    </x:row>
    <x:row r="2">
      <x:c r="A2" s="14" t="str">
        <x:v>PA-001</x:v>
      </x:c>
      <x:c r="B2" s="14" t="n">
        <x:v>1</x:v>
      </x:c>
      <x:c r="C2" s="14" t="str">
        <x:v>Validate required matter fields</x:v>
      </x:c>
      <x:c r="D2" s="14" t="str">
        <x:v>Condition</x:v>
      </x:c>
      <x:c r="E2" s="14" t="str">
        <x:v>Dataverse</x:v>
      </x:c>
      <x:c r="F2" s="14" t="str">
        <x:v>Matter record</x:v>
      </x:c>
      <x:c r="G2" s="14" t="str">
        <x:v>Pass/fail</x:v>
      </x:c>
      <x:c r="H2" s="14" t="str">
        <x:v>Create blocker alert</x:v>
      </x:c>
      <x:c r="I2" s="14" t="str">
        <x:v>Requires client names, matter type, responsible attorney.</x:v>
      </x:c>
    </x:row>
    <x:row r="3">
      <x:c r="A3" s="14" t="str">
        <x:v>PA-001</x:v>
      </x:c>
      <x:c r="B3" s="14" t="n">
        <x:v>2</x:v>
      </x:c>
      <x:c r="C3" s="14" t="str">
        <x:v>Create SharePoint matter folder</x:v>
      </x:c>
      <x:c r="D3" s="14" t="str">
        <x:v>Create folder</x:v>
      </x:c>
      <x:c r="E3" s="14" t="str">
        <x:v>SharePoint</x:v>
      </x:c>
      <x:c r="F3" s="14" t="str">
        <x:v>Matter ID and client names</x:v>
      </x:c>
      <x:c r="G3" s="14" t="str">
        <x:v>Matter document library path</x:v>
      </x:c>
      <x:c r="H3" s="14" t="str">
        <x:v>Retry; notify admin</x:v>
      </x:c>
      <x:c r="I3" s="14" t="str">
        <x:v>Folder naming must follow naming standard.</x:v>
      </x:c>
    </x:row>
    <x:row r="4">
      <x:c r="A4" s="14" t="str">
        <x:v>PA-001</x:v>
      </x:c>
      <x:c r="B4" s="14" t="n">
        <x:v>3</x:v>
      </x:c>
      <x:c r="C4" s="14" t="str">
        <x:v>Seed core child records</x:v>
      </x:c>
      <x:c r="D4" s="14" t="str">
        <x:v>Create rows</x:v>
      </x:c>
      <x:c r="E4" s="14" t="str">
        <x:v>Dataverse</x:v>
      </x:c>
      <x:c r="F4" s="14" t="str">
        <x:v>Matter ID</x:v>
      </x:c>
      <x:c r="G4" s="14" t="str">
        <x:v>Client, Intake, Priority, QC placeholders</x:v>
      </x:c>
      <x:c r="H4" s="14" t="str">
        <x:v>Rollback if core record fails</x:v>
      </x:c>
      <x:c r="I4" s="14" t="str">
        <x:v>Avoid duplicate child records.</x:v>
      </x:c>
    </x:row>
    <x:row r="5">
      <x:c r="A5" s="14" t="str">
        <x:v>PA-002</x:v>
      </x:c>
      <x:c r="B5" s="14" t="n">
        <x:v>1</x:v>
      </x:c>
      <x:c r="C5" s="14" t="str">
        <x:v>Load checklist values</x:v>
      </x:c>
      <x:c r="D5" s="14" t="str">
        <x:v>Get rows</x:v>
      </x:c>
      <x:c r="E5" s="14" t="str">
        <x:v>Dataverse</x:v>
      </x:c>
      <x:c r="F5" s="14" t="str">
        <x:v>Matter ID</x:v>
      </x:c>
      <x:c r="G5" s="14" t="str">
        <x:v>Pre-interview facts</x:v>
      </x:c>
      <x:c r="H5" s="14" t="str">
        <x:v>Flag missing fields</x:v>
      </x:c>
      <x:c r="I5" s="14" t="str">
        <x:v>Uses 12K field list.</x:v>
      </x:c>
    </x:row>
    <x:row r="6">
      <x:c r="A6" s="14" t="str">
        <x:v>PA-002</x:v>
      </x:c>
      <x:c r="B6" s="14" t="n">
        <x:v>2</x:v>
      </x:c>
      <x:c r="C6" s="14" t="str">
        <x:v>Evaluate senior-review rules</x:v>
      </x:c>
      <x:c r="D6" s="14" t="str">
        <x:v>Apply to each</x:v>
      </x:c>
      <x:c r="E6" s="14" t="str">
        <x:v>Power Automate expression / Dataverse</x:v>
      </x:c>
      <x:c r="F6" s="14" t="str">
        <x:v>Tax, family, MAPT, disability, assets</x:v>
      </x:c>
      <x:c r="G6" s="14" t="str">
        <x:v>Senior review flags</x:v>
      </x:c>
      <x:c r="H6" s="14" t="str">
        <x:v>Write error log</x:v>
      </x:c>
      <x:c r="I6" s="14" t="str">
        <x:v>Rules mirror 12D.</x:v>
      </x:c>
    </x:row>
    <x:row r="7">
      <x:c r="A7" s="14" t="str">
        <x:v>PA-002</x:v>
      </x:c>
      <x:c r="B7" s="14" t="n">
        <x:v>3</x:v>
      </x:c>
      <x:c r="C7" s="14" t="str">
        <x:v>Set pre-interview status</x:v>
      </x:c>
      <x:c r="D7" s="14" t="str">
        <x:v>Update row</x:v>
      </x:c>
      <x:c r="E7" s="14" t="str">
        <x:v>Dataverse</x:v>
      </x:c>
      <x:c r="F7" s="14" t="str">
        <x:v>Flags and completeness</x:v>
      </x:c>
      <x:c r="G7" s="14" t="str">
        <x:v>Proceed / Need Review / Blocked</x:v>
      </x:c>
      <x:c r="H7" s="14" t="str">
        <x:v>Notify attorney</x:v>
      </x:c>
      <x:c r="I7" s="14" t="str">
        <x:v>Associate may proceed only if no blocking review.</x:v>
      </x:c>
    </x:row>
    <x:row r="8">
      <x:c r="A8" s="14" t="str">
        <x:v>PA-003</x:v>
      </x:c>
      <x:c r="B8" s="14" t="n">
        <x:v>1</x:v>
      </x:c>
      <x:c r="C8" s="14" t="str">
        <x:v>Read selected priorities</x:v>
      </x:c>
      <x:c r="D8" s="14" t="str">
        <x:v>Get rows</x:v>
      </x:c>
      <x:c r="E8" s="14" t="str">
        <x:v>Dataverse</x:v>
      </x:c>
      <x:c r="F8" s="14" t="str">
        <x:v>Matter ID</x:v>
      </x:c>
      <x:c r="G8" s="14" t="str">
        <x:v>Priority selections</x:v>
      </x:c>
      <x:c r="H8" s="14" t="str">
        <x:v>Alert if none</x:v>
      </x:c>
      <x:c r="I8" s="14" t="str">
        <x:v>Client-facing selections from intake.</x:v>
      </x:c>
    </x:row>
    <x:row r="9">
      <x:c r="A9" s="14" t="str">
        <x:v>PA-003</x:v>
      </x:c>
      <x:c r="B9" s="14" t="n">
        <x:v>2</x:v>
      </x:c>
      <x:c r="C9" s="14" t="str">
        <x:v>Apply P-code translations</x:v>
      </x:c>
      <x:c r="D9" s="14" t="str">
        <x:v>Apply to each</x:v>
      </x:c>
      <x:c r="E9" s="14" t="str">
        <x:v>Dataverse / flow table</x:v>
      </x:c>
      <x:c r="F9" s="14" t="str">
        <x:v>Priority selections</x:v>
      </x:c>
      <x:c r="G9" s="14" t="str">
        <x:v>P-code score rows</x:v>
      </x:c>
      <x:c r="H9" s="14" t="str">
        <x:v>Write calculation log</x:v>
      </x:c>
      <x:c r="I9" s="14" t="str">
        <x:v>Rules mirror 12C and 12E.</x:v>
      </x:c>
    </x:row>
    <x:row r="10">
      <x:c r="A10" s="14" t="str">
        <x:v>PA-003</x:v>
      </x:c>
      <x:c r="B10" s="14" t="n">
        <x:v>3</x:v>
      </x:c>
      <x:c r="C10" s="14" t="str">
        <x:v>Write priority profile</x:v>
      </x:c>
      <x:c r="D10" s="14" t="str">
        <x:v>Update rows</x:v>
      </x:c>
      <x:c r="E10" s="14" t="str">
        <x:v>Dataverse</x:v>
      </x:c>
      <x:c r="F10" s="14" t="str">
        <x:v>P-code totals</x:v>
      </x:c>
      <x:c r="G10" s="14" t="str">
        <x:v>Priority profile</x:v>
      </x:c>
      <x:c r="H10" s="14" t="str">
        <x:v>Log failure</x:v>
      </x:c>
      <x:c r="I10" s="14" t="str">
        <x:v>Used by scenario recommendation.</x:v>
      </x:c>
    </x:row>
    <x:row r="11">
      <x:c r="A11" s="14" t="str">
        <x:v>PA-004</x:v>
      </x:c>
      <x:c r="B11" s="14" t="n">
        <x:v>1</x:v>
      </x:c>
      <x:c r="C11" s="14" t="str">
        <x:v>Evaluate hard gates</x:v>
      </x:c>
      <x:c r="D11" s="14" t="str">
        <x:v>Condition group</x:v>
      </x:c>
      <x:c r="E11" s="14" t="str">
        <x:v>Power Automate expression</x:v>
      </x:c>
      <x:c r="F11" s="14" t="str">
        <x:v>Matter facts</x:v>
      </x:c>
      <x:c r="G11" s="14" t="str">
        <x:v>Hard gate results</x:v>
      </x:c>
      <x:c r="H11" s="14" t="str">
        <x:v>Log and notify if expression fails</x:v>
      </x:c>
      <x:c r="I11" s="14" t="str">
        <x:v>Hard gates override scenario scoring.</x:v>
      </x:c>
    </x:row>
    <x:row r="12">
      <x:c r="A12" s="14" t="str">
        <x:v>PA-004</x:v>
      </x:c>
      <x:c r="B12" s="14" t="n">
        <x:v>2</x:v>
      </x:c>
      <x:c r="C12" s="14" t="str">
        <x:v>Evaluate exclusions</x:v>
      </x:c>
      <x:c r="D12" s="14" t="str">
        <x:v>Condition group</x:v>
      </x:c>
      <x:c r="E12" s="14" t="str">
        <x:v>Power Automate expression</x:v>
      </x:c>
      <x:c r="F12" s="14" t="str">
        <x:v>Plan/scenario candidates</x:v>
      </x:c>
      <x:c r="G12" s="14" t="str">
        <x:v>Excluded scenarios</x:v>
      </x:c>
      <x:c r="H12" s="14" t="str">
        <x:v>Create conflict alert</x:v>
      </x:c>
      <x:c r="I12" s="14" t="str">
        <x:v>MAPT excludes EP-AIP.</x:v>
      </x:c>
    </x:row>
    <x:row r="13">
      <x:c r="A13" s="14" t="str">
        <x:v>PA-004</x:v>
      </x:c>
      <x:c r="B13" s="14" t="n">
        <x:v>3</x:v>
      </x:c>
      <x:c r="C13" s="14" t="str">
        <x:v>Write routing result</x:v>
      </x:c>
      <x:c r="D13" s="14" t="str">
        <x:v>Update row</x:v>
      </x:c>
      <x:c r="E13" s="14" t="str">
        <x:v>Dataverse</x:v>
      </x:c>
      <x:c r="F13" s="14" t="str">
        <x:v>Hard gates, exclusions, family track</x:v>
      </x:c>
      <x:c r="G13" s="14" t="str">
        <x:v>Routing result</x:v>
      </x:c>
      <x:c r="H13" s="14" t="str">
        <x:v>Log failure</x:v>
      </x:c>
      <x:c r="I13" s="14" t="str">
        <x:v>Includes rule IDs applied.</x:v>
      </x:c>
    </x:row>
    <x:row r="14">
      <x:c r="A14" s="14" t="str">
        <x:v>PA-005</x:v>
      </x:c>
      <x:c r="B14" s="14" t="n">
        <x:v>1</x:v>
      </x:c>
      <x:c r="C14" s="14" t="str">
        <x:v>Check module exit condition</x:v>
      </x:c>
      <x:c r="D14" s="14" t="str">
        <x:v>Condition</x:v>
      </x:c>
      <x:c r="E14" s="14" t="str">
        <x:v>Dataverse</x:v>
      </x:c>
      <x:c r="F14" s="14" t="str">
        <x:v>Module answers</x:v>
      </x:c>
      <x:c r="G14" s="14" t="str">
        <x:v>Complete/incomplete</x:v>
      </x:c>
      <x:c r="H14" s="14" t="str">
        <x:v>Create incomplete alert</x:v>
      </x:c>
      <x:c r="I14" s="14" t="str">
        <x:v>Exit rules from 12H.</x:v>
      </x:c>
    </x:row>
    <x:row r="15">
      <x:c r="A15" s="14" t="str">
        <x:v>PA-005</x:v>
      </x:c>
      <x:c r="B15" s="14" t="n">
        <x:v>2</x:v>
      </x:c>
      <x:c r="C15" s="14" t="str">
        <x:v>Evaluate next module rules</x:v>
      </x:c>
      <x:c r="D15" s="14" t="str">
        <x:v>Condition group</x:v>
      </x:c>
      <x:c r="E15" s="14" t="str">
        <x:v>Dataverse / expression</x:v>
      </x:c>
      <x:c r="F15" s="14" t="str">
        <x:v>Current module state and answers</x:v>
      </x:c>
      <x:c r="G15" s="14" t="str">
        <x:v>Next module ID</x:v>
      </x:c>
      <x:c r="H15" s="14" t="str">
        <x:v>Open review task if ambiguous</x:v>
      </x:c>
      <x:c r="I15" s="14" t="str">
        <x:v>Skips only through recorded rule.</x:v>
      </x:c>
    </x:row>
    <x:row r="16">
      <x:c r="A16" s="14" t="str">
        <x:v>PA-005</x:v>
      </x:c>
      <x:c r="B16" s="14" t="n">
        <x:v>3</x:v>
      </x:c>
      <x:c r="C16" s="14" t="str">
        <x:v>Update module state</x:v>
      </x:c>
      <x:c r="D16" s="14" t="str">
        <x:v>Update rows</x:v>
      </x:c>
      <x:c r="E16" s="14" t="str">
        <x:v>Dataverse</x:v>
      </x:c>
      <x:c r="F16" s="14" t="str">
        <x:v>Next module ID</x:v>
      </x:c>
      <x:c r="G16" s="14" t="str">
        <x:v>Module state changes</x:v>
      </x:c>
      <x:c r="H16" s="14" t="str">
        <x:v>Log failure</x:v>
      </x:c>
      <x:c r="I16" s="14" t="str">
        <x:v>Maintains audit trail.</x:v>
      </x:c>
    </x:row>
    <x:row r="17">
      <x:c r="A17" s="14" t="str">
        <x:v>PA-006</x:v>
      </x:c>
      <x:c r="B17" s="14" t="n">
        <x:v>1</x:v>
      </x:c>
      <x:c r="C17" s="14" t="str">
        <x:v>Calculate scenario scores</x:v>
      </x:c>
      <x:c r="D17" s="14" t="str">
        <x:v>Apply to each</x:v>
      </x:c>
      <x:c r="E17" s="14" t="str">
        <x:v>Dataverse / expression</x:v>
      </x:c>
      <x:c r="F17" s="14" t="str">
        <x:v>P-code and answer score rows</x:v>
      </x:c>
      <x:c r="G17" s="14" t="str">
        <x:v>Scenario totals</x:v>
      </x:c>
      <x:c r="H17" s="14" t="str">
        <x:v>Create scoring error alert</x:v>
      </x:c>
      <x:c r="I17" s="14" t="str">
        <x:v>Uses scoring engine rules.</x:v>
      </x:c>
    </x:row>
    <x:row r="18">
      <x:c r="A18" s="14" t="str">
        <x:v>PA-006</x:v>
      </x:c>
      <x:c r="B18" s="14" t="n">
        <x:v>2</x:v>
      </x:c>
      <x:c r="C18" s="14" t="str">
        <x:v>Apply confidence thresholds</x:v>
      </x:c>
      <x:c r="D18" s="14" t="str">
        <x:v>Condition</x:v>
      </x:c>
      <x:c r="E18" s="14" t="str">
        <x:v>Power Automate expression</x:v>
      </x:c>
      <x:c r="F18" s="14" t="str">
        <x:v>Top and second scenario scores</x:v>
      </x:c>
      <x:c r="G18" s="14" t="str">
        <x:v>Confidence result</x:v>
      </x:c>
      <x:c r="H18" s="14" t="str">
        <x:v>Flag tie or low confidence</x:v>
      </x:c>
      <x:c r="I18" s="14" t="str">
        <x:v>Thresholds from 12E.</x:v>
      </x:c>
    </x:row>
    <x:row r="19">
      <x:c r="A19" s="14" t="str">
        <x:v>PA-006</x:v>
      </x:c>
      <x:c r="B19" s="14" t="n">
        <x:v>3</x:v>
      </x:c>
      <x:c r="C19" s="14" t="str">
        <x:v>Save recommendation</x:v>
      </x:c>
      <x:c r="D19" s="14" t="str">
        <x:v>Update row</x:v>
      </x:c>
      <x:c r="E19" s="14" t="str">
        <x:v>Dataverse</x:v>
      </x:c>
      <x:c r="F19" s="14" t="str">
        <x:v>Top scenario, confidence, rationale</x:v>
      </x:c>
      <x:c r="G19" s="14" t="str">
        <x:v>Recommended scenario</x:v>
      </x:c>
      <x:c r="H19" s="14" t="str">
        <x:v>Log failure</x:v>
      </x:c>
      <x:c r="I19" s="14" t="str">
        <x:v>Not final until Layer 4.</x:v>
      </x:c>
    </x:row>
    <x:row r="20">
      <x:c r="A20" s="14" t="str">
        <x:v>PA-007</x:v>
      </x:c>
      <x:c r="B20" s="14" t="n">
        <x:v>1</x:v>
      </x:c>
      <x:c r="C20" s="14" t="str">
        <x:v>Load scenario clause mapping</x:v>
      </x:c>
      <x:c r="D20" s="14" t="str">
        <x:v>Get rows</x:v>
      </x:c>
      <x:c r="E20" s="14" t="str">
        <x:v>Dataverse / SharePoint list</x:v>
      </x:c>
      <x:c r="F20" s="14" t="str">
        <x:v>Recommended/selected scenario</x:v>
      </x:c>
      <x:c r="G20" s="14" t="str">
        <x:v>Clause concept rows</x:v>
      </x:c>
      <x:c r="H20" s="14" t="str">
        <x:v>Flag missing mapping</x:v>
      </x:c>
      <x:c r="I20" s="14" t="str">
        <x:v>Uses 12F and 12G.</x:v>
      </x:c>
    </x:row>
    <x:row r="21">
      <x:c r="A21" s="14" t="str">
        <x:v>PA-007</x:v>
      </x:c>
      <x:c r="B21" s="14" t="n">
        <x:v>2</x:v>
      </x:c>
      <x:c r="C21" s="14" t="str">
        <x:v>Evaluate answer-based triggers</x:v>
      </x:c>
      <x:c r="D21" s="14" t="str">
        <x:v>Apply to each</x:v>
      </x:c>
      <x:c r="E21" s="14" t="str">
        <x:v>Dataverse</x:v>
      </x:c>
      <x:c r="F21" s="14" t="str">
        <x:v>Answers and triggers</x:v>
      </x:c>
      <x:c r="G21" s="14" t="str">
        <x:v>Additional clause triggers</x:v>
      </x:c>
      <x:c r="H21" s="14" t="str">
        <x:v>Log failure</x:v>
      </x:c>
      <x:c r="I21" s="14" t="str">
        <x:v>Includes SNT, AIP, tax, special asset, BDT.</x:v>
      </x:c>
    </x:row>
    <x:row r="22">
      <x:c r="A22" s="14" t="str">
        <x:v>PA-007</x:v>
      </x:c>
      <x:c r="B22" s="14" t="n">
        <x:v>3</x:v>
      </x:c>
      <x:c r="C22" s="14" t="str">
        <x:v>Write clause trigger records</x:v>
      </x:c>
      <x:c r="D22" s="14" t="str">
        <x:v>Create/update rows</x:v>
      </x:c>
      <x:c r="E22" s="14" t="str">
        <x:v>Dataverse</x:v>
      </x:c>
      <x:c r="F22" s="14" t="str">
        <x:v>Clause concept rows</x:v>
      </x:c>
      <x:c r="G22" s="14" t="str">
        <x:v>Clause trigger list</x:v>
      </x:c>
      <x:c r="H22" s="14" t="str">
        <x:v>Flag placeholder/legacy-only</x:v>
      </x:c>
      <x:c r="I22" s="14" t="str">
        <x:v>Status determines review requirement.</x:v>
      </x:c>
    </x:row>
    <x:row r="23">
      <x:c r="A23" s="14" t="str">
        <x:v>PA-008</x:v>
      </x:c>
      <x:c r="B23" s="14" t="n">
        <x:v>1</x:v>
      </x:c>
      <x:c r="C23" s="14" t="str">
        <x:v>Run QC categories</x:v>
      </x:c>
      <x:c r="D23" s="14" t="str">
        <x:v>Apply to each</x:v>
      </x:c>
      <x:c r="E23" s="14" t="str">
        <x:v>Dataverse / expression</x:v>
      </x:c>
      <x:c r="F23" s="14" t="str">
        <x:v>Matter data</x:v>
      </x:c>
      <x:c r="G23" s="14" t="str">
        <x:v>Alerts</x:v>
      </x:c>
      <x:c r="H23" s="14" t="str">
        <x:v>Log and continue</x:v>
      </x:c>
      <x:c r="I23" s="14" t="str">
        <x:v>QC categories from 10 and 12Q.</x:v>
      </x:c>
    </x:row>
    <x:row r="24">
      <x:c r="A24" s="14" t="str">
        <x:v>PA-008</x:v>
      </x:c>
      <x:c r="B24" s="14" t="n">
        <x:v>2</x:v>
      </x:c>
      <x:c r="C24" s="14" t="str">
        <x:v>Determine matter QC status</x:v>
      </x:c>
      <x:c r="D24" s="14" t="str">
        <x:v>Condition</x:v>
      </x:c>
      <x:c r="E24" s="14" t="str">
        <x:v>Dataverse</x:v>
      </x:c>
      <x:c r="F24" s="14" t="str">
        <x:v>Alerts by severity</x:v>
      </x:c>
      <x:c r="G24" s="14" t="str">
        <x:v>Drafting Ready Candidate / Blocked / Homework</x:v>
      </x:c>
      <x:c r="H24" s="14" t="str">
        <x:v>Notify attorney if blocked</x:v>
      </x:c>
      <x:c r="I24" s="14" t="str">
        <x:v>No drafting handoff with blockers.</x:v>
      </x:c>
    </x:row>
    <x:row r="25">
      <x:c r="A25" s="14" t="str">
        <x:v>PA-009</x:v>
      </x:c>
      <x:c r="B25" s="14" t="n">
        <x:v>1</x:v>
      </x:c>
      <x:c r="C25" s="14" t="str">
        <x:v>Start approval</x:v>
      </x:c>
      <x:c r="D25" s="14" t="str">
        <x:v>Start and wait for approval</x:v>
      </x:c>
      <x:c r="E25" s="14" t="str">
        <x:v>Approvals</x:v>
      </x:c>
      <x:c r="F25" s="14" t="str">
        <x:v>Recommendation and summary</x:v>
      </x:c>
      <x:c r="G25" s="14" t="str">
        <x:v>Attorney decision</x:v>
      </x:c>
      <x:c r="H25" s="14" t="str">
        <x:v>Escalate if overdue</x:v>
      </x:c>
      <x:c r="I25" s="14" t="str">
        <x:v>Approval card includes rationale and flags.</x:v>
      </x:c>
    </x:row>
    <x:row r="26">
      <x:c r="A26" s="14" t="str">
        <x:v>PA-009</x:v>
      </x:c>
      <x:c r="B26" s="14" t="n">
        <x:v>2</x:v>
      </x:c>
      <x:c r="C26" s="14" t="str">
        <x:v>Capture modification/override</x:v>
      </x:c>
      <x:c r="D26" s="14" t="str">
        <x:v>Update row</x:v>
      </x:c>
      <x:c r="E26" s="14" t="str">
        <x:v>Dataverse</x:v>
      </x:c>
      <x:c r="F26" s="14" t="str">
        <x:v>Attorney decision</x:v>
      </x:c>
      <x:c r="G26" s="14" t="str">
        <x:v>Final plan/scenario</x:v>
      </x:c>
      <x:c r="H26" s="14" t="str">
        <x:v>Require reason on override</x:v>
      </x:c>
      <x:c r="I26" s="14" t="str">
        <x:v>Final selection controls drafting.</x:v>
      </x:c>
    </x:row>
    <x:row r="27">
      <x:c r="A27" s="14" t="str">
        <x:v>PA-009</x:v>
      </x:c>
      <x:c r="B27" s="14" t="n">
        <x:v>3</x:v>
      </x:c>
      <x:c r="C27" s="14" t="str">
        <x:v>Set final status</x:v>
      </x:c>
      <x:c r="D27" s="14" t="str">
        <x:v>Update row</x:v>
      </x:c>
      <x:c r="E27" s="14" t="str">
        <x:v>Dataverse</x:v>
      </x:c>
      <x:c r="F27" s="14" t="str">
        <x:v>QC status and approvals</x:v>
      </x:c>
      <x:c r="G27" s="14" t="str">
        <x:v>Drafting Ready / Senior Review / Homework</x:v>
      </x:c>
      <x:c r="H27" s="14" t="str">
        <x:v>Notify paralegal if ready</x:v>
      </x:c>
      <x:c r="I27" s="14" t="str">
        <x:v>Layer 4 control.</x:v>
      </x:c>
    </x:row>
    <x:row r="28">
      <x:c r="A28" s="14" t="str">
        <x:v>PA-012</x:v>
      </x:c>
      <x:c r="B28" s="14" t="n">
        <x:v>1</x:v>
      </x:c>
      <x:c r="C28" s="14" t="str">
        <x:v>Check drafting-ready gate</x:v>
      </x:c>
      <x:c r="D28" s="14" t="str">
        <x:v>Condition</x:v>
      </x:c>
      <x:c r="E28" s="14" t="str">
        <x:v>Dataverse</x:v>
      </x:c>
      <x:c r="F28" s="14" t="str">
        <x:v>Matter status, blockers</x:v>
      </x:c>
      <x:c r="G28" s="14" t="str">
        <x:v>Proceed/stop</x:v>
      </x:c>
      <x:c r="H28" s="14" t="str">
        <x:v>Stop with blocker message</x:v>
      </x:c>
      <x:c r="I28" s="14" t="str">
        <x:v>No generation if not drafting ready.</x:v>
      </x:c>
    </x:row>
    <x:row r="29">
      <x:c r="A29" s="14" t="str">
        <x:v>PA-012</x:v>
      </x:c>
      <x:c r="B29" s="14" t="n">
        <x:v>2</x:v>
      </x:c>
      <x:c r="C29" s="14" t="str">
        <x:v>Merge Word template</x:v>
      </x:c>
      <x:c r="D29" s="14" t="str">
        <x:v>Populate template</x:v>
      </x:c>
      <x:c r="E29" s="14" t="str">
        <x:v>Word Online / SharePoint</x:v>
      </x:c>
      <x:c r="F29" s="14" t="str">
        <x:v>Merge field map</x:v>
      </x:c>
      <x:c r="G29" s="14" t="str">
        <x:v>DOCX draft handoff</x:v>
      </x:c>
      <x:c r="H29" s="14" t="str">
        <x:v>Log template errors</x:v>
      </x:c>
      <x:c r="I29" s="14" t="str">
        <x:v>Uses 12O merge field map.</x:v>
      </x:c>
    </x:row>
    <x:row r="30">
      <x:c r="A30" s="14" t="str">
        <x:v>PA-012</x:v>
      </x:c>
      <x:c r="B30" s="14" t="n">
        <x:v>3</x:v>
      </x:c>
      <x:c r="C30" s="14" t="str">
        <x:v>Convert and save output</x:v>
      </x:c>
      <x:c r="D30" s="14" t="str">
        <x:v>Convert file / Create file</x:v>
      </x:c>
      <x:c r="E30" s="14" t="str">
        <x:v>Word Online / SharePoint</x:v>
      </x:c>
      <x:c r="F30" s="14" t="str">
        <x:v>DOCX</x:v>
      </x:c>
      <x:c r="G30" s="14" t="str">
        <x:v>PDF and stored DOCX</x:v>
      </x:c>
      <x:c r="H30" s="14" t="str">
        <x:v>Notify admin on failure</x:v>
      </x:c>
      <x:c r="I30" s="14" t="str">
        <x:v>Attach to matter library.</x:v>
      </x:c>
    </x:row>
    <x:row r="31">
      <x:c r="A31" s="14" t="str">
        <x:v>PA-015</x:v>
      </x:c>
      <x:c r="B31" s="14" t="n">
        <x:v>1</x:v>
      </x:c>
      <x:c r="C31" s="14" t="str">
        <x:v>Confirm EP-APP route</x:v>
      </x:c>
      <x:c r="D31" s="14" t="str">
        <x:v>Condition</x:v>
      </x:c>
      <x:c r="E31" s="14" t="str">
        <x:v>Dataverse</x:v>
      </x:c>
      <x:c r="F31" s="14" t="str">
        <x:v>Plan/scenario</x:v>
      </x:c>
      <x:c r="G31" s="14" t="str">
        <x:v>Proceed/stop</x:v>
      </x:c>
      <x:c r="H31" s="14" t="str">
        <x:v>Create conflict if EP-AIP</x:v>
      </x:c>
      <x:c r="I31" s="14" t="str">
        <x:v>MAPT belongs only to EP-APP.</x:v>
      </x:c>
    </x:row>
    <x:row r="32">
      <x:c r="A32" s="14" t="str">
        <x:v>PA-015</x:v>
      </x:c>
      <x:c r="B32" s="14" t="n">
        <x:v>2</x:v>
      </x:c>
      <x:c r="C32" s="14" t="str">
        <x:v>Evaluate asset transfer candidates</x:v>
      </x:c>
      <x:c r="D32" s="14" t="str">
        <x:v>Apply to each</x:v>
      </x:c>
      <x:c r="E32" s="14" t="str">
        <x:v>Dataverse</x:v>
      </x:c>
      <x:c r="F32" s="14" t="str">
        <x:v>Asset list</x:v>
      </x:c>
      <x:c r="G32" s="14" t="str">
        <x:v>Funding candidate rows</x:v>
      </x:c>
      <x:c r="H32" s="14" t="str">
        <x:v>Flag title/tax review</x:v>
      </x:c>
      <x:c r="I32" s="14" t="str">
        <x:v>Uses 12I.</x:v>
      </x:c>
    </x:row>
    <x:row r="33">
      <x:c r="A33" s="14" t="str">
        <x:v>PA-015</x:v>
      </x:c>
      <x:c r="B33" s="14" t="n">
        <x:v>3</x:v>
      </x:c>
      <x:c r="C33" s="14" t="str">
        <x:v>Generate MAPT funding checklist</x:v>
      </x:c>
      <x:c r="D33" s="14" t="str">
        <x:v>Populate template</x:v>
      </x:c>
      <x:c r="E33" s="14" t="str">
        <x:v>Word Online / SharePoint</x:v>
      </x:c>
      <x:c r="F33" s="14" t="str">
        <x:v>Funding candidate rows</x:v>
      </x:c>
      <x:c r="G33" s="14" t="str">
        <x:v>Checklist output</x:v>
      </x:c>
      <x:c r="H33" s="14" t="str">
        <x:v>Log errors</x:v>
      </x:c>
      <x:c r="I33" s="14" t="str">
        <x:v>Includes homestead/exemption warnings.</x:v>
      </x:c>
    </x:row>
    <x:row r="34">
      <x:c r="A34" s="14" t="str">
        <x:v>PA-017</x:v>
      </x:c>
      <x:c r="B34" s="14" t="n">
        <x:v>1</x:v>
      </x:c>
      <x:c r="C34" s="14" t="str">
        <x:v>Read version metadata</x:v>
      </x:c>
      <x:c r="D34" s="14" t="str">
        <x:v>Get rows</x:v>
      </x:c>
      <x:c r="E34" s="14" t="str">
        <x:v>Dataverse / SharePoint</x:v>
      </x:c>
      <x:c r="F34" s="14" t="str">
        <x:v>Matter ID</x:v>
      </x:c>
      <x:c r="G34" s="14" t="str">
        <x:v>Version IDs</x:v>
      </x:c>
      <x:c r="H34" s="14" t="str">
        <x:v>Create admin alert if missing</x:v>
      </x:c>
      <x:c r="I34" s="14" t="str">
        <x:v>Option sets, scoring, clauses, templates.</x:v>
      </x:c>
    </x:row>
    <x:row r="35">
      <x:c r="A35" s="14" t="str">
        <x:v>PA-017</x:v>
      </x:c>
      <x:c r="B35" s="14" t="n">
        <x:v>2</x:v>
      </x:c>
      <x:c r="C35" s="14" t="str">
        <x:v>Create immutable snapshot</x:v>
      </x:c>
      <x:c r="D35" s="14" t="str">
        <x:v>Create row / file</x:v>
      </x:c>
      <x:c r="E35" s="14" t="str">
        <x:v>Dataverse / SharePoint</x:v>
      </x:c>
      <x:c r="F35" s="14" t="str">
        <x:v>Final design + versions</x:v>
      </x:c>
      <x:c r="G35" s="14" t="str">
        <x:v>Matter snapshot</x:v>
      </x:c>
      <x:c r="H35" s="14" t="str">
        <x:v>Retry and block drafting if fail</x:v>
      </x:c>
      <x:c r="I35" s="14" t="str">
        <x:v>Historical record.</x:v>
      </x:c>
    </x:row>
  </x:sheetData>
  <x:pageMargins left="0.7" right="0.7" top="0.75" bottom="0.75" header="0.3" footer="0.3"/>
  <x:tableParts count="1">
    <x:tablePart xmlns:r="http://schemas.openxmlformats.org/officeDocument/2006/relationships" r:id="Ree71e50229c04f5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0" hidden="0" customWidth="1"/>
    <x:col min="4" max="4" width="24" hidden="0" customWidth="1"/>
    <x:col min="5" max="5" width="26" hidden="0" customWidth="1"/>
    <x:col min="6" max="6" width="48" hidden="0" customWidth="1"/>
    <x:col min="7" max="7" width="32" hidden="0" customWidth="1"/>
    <x:col min="8" max="8" width="20" hidden="0" customWidth="1"/>
    <x:col min="9" max="9" width="35" hidden="0" customWidth="1"/>
  </x:cols>
  <x:sheetData>
    <x:row r="1" ht="30" customHeight="1">
      <x:c r="A1" s="6" t="str">
        <x:v>Trigger ID</x:v>
      </x:c>
      <x:c r="B1" s="6" t="str">
        <x:v>Flow ID</x:v>
      </x:c>
      <x:c r="C1" s="6" t="str">
        <x:v>Trigger Name</x:v>
      </x:c>
      <x:c r="D1" s="6" t="str">
        <x:v>Trigger Type</x:v>
      </x:c>
      <x:c r="E1" s="6" t="str">
        <x:v>Source</x:v>
      </x:c>
      <x:c r="F1" s="6" t="str">
        <x:v>Condition / Expression</x:v>
      </x:c>
      <x:c r="G1" s="6" t="str">
        <x:v>Debounce / Guardrail</x:v>
      </x:c>
      <x:c r="H1" s="6" t="str">
        <x:v>Expected Frequency</x:v>
      </x:c>
      <x:c r="I1" s="6" t="str">
        <x:v>Notes</x:v>
      </x:c>
    </x:row>
    <x:row r="2">
      <x:c r="A2" s="14" t="str">
        <x:v>TR-001</x:v>
      </x:c>
      <x:c r="B2" s="14" t="str">
        <x:v>PA-001</x:v>
      </x:c>
      <x:c r="C2" s="14" t="str">
        <x:v>New matter created</x:v>
      </x:c>
      <x:c r="D2" s="14" t="str">
        <x:v>Dataverse row created</x:v>
      </x:c>
      <x:c r="E2" s="14" t="str">
        <x:v>Matter</x:v>
      </x:c>
      <x:c r="F2" s="14" t="str">
        <x:v>Matter.status = 'New'</x:v>
      </x:c>
      <x:c r="G2" s="14" t="str">
        <x:v>Check no workspace exists</x:v>
      </x:c>
      <x:c r="H2" s="14" t="str">
        <x:v>Per new matter</x:v>
      </x:c>
      <x:c r="I2" s="14" t="str">
        <x:v>Initial workspace flow.</x:v>
      </x:c>
    </x:row>
    <x:row r="3">
      <x:c r="A3" s="14" t="str">
        <x:v>TR-002</x:v>
      </x:c>
      <x:c r="B3" s="14" t="str">
        <x:v>PA-002</x:v>
      </x:c>
      <x:c r="C3" s="14" t="str">
        <x:v>Pre-interview checklist completed</x:v>
      </x:c>
      <x:c r="D3" s="14" t="str">
        <x:v>Dataverse row modified</x:v>
      </x:c>
      <x:c r="E3" s="14" t="str">
        <x:v>Pre-Interview Review</x:v>
      </x:c>
      <x:c r="F3" s="14" t="str">
        <x:v>pre_interview_status = 'Complete'</x:v>
      </x:c>
      <x:c r="G3" s="14" t="str">
        <x:v>Avoid re-run unless version increment or field changed</x:v>
      </x:c>
      <x:c r="H3" s="14" t="str">
        <x:v>Per matter</x:v>
      </x:c>
      <x:c r="I3" s="14" t="str">
        <x:v>Creates review flags.</x:v>
      </x:c>
    </x:row>
    <x:row r="4">
      <x:c r="A4" s="14" t="str">
        <x:v>TR-003</x:v>
      </x:c>
      <x:c r="B4" s="14" t="str">
        <x:v>PA-003</x:v>
      </x:c>
      <x:c r="C4" s="14" t="str">
        <x:v>Priority selection submitted</x:v>
      </x:c>
      <x:c r="D4" s="14" t="str">
        <x:v>Dataverse row modified</x:v>
      </x:c>
      <x:c r="E4" s="14" t="str">
        <x:v>Priority Selection</x:v>
      </x:c>
      <x:c r="F4" s="14" t="str">
        <x:v>priority_selection_status = 'Submitted'</x:v>
      </x:c>
      <x:c r="G4" s="14" t="str">
        <x:v>Hash selected answers</x:v>
      </x:c>
      <x:c r="H4" s="14" t="str">
        <x:v>Per intake update</x:v>
      </x:c>
      <x:c r="I4" s="14" t="str">
        <x:v>Recalculates P-codes.</x:v>
      </x:c>
    </x:row>
    <x:row r="5">
      <x:c r="A5" s="14" t="str">
        <x:v>TR-004</x:v>
      </x:c>
      <x:c r="B5" s="14" t="str">
        <x:v>PA-004</x:v>
      </x:c>
      <x:c r="C5" s="14" t="str">
        <x:v>Routing input changed</x:v>
      </x:c>
      <x:c r="D5" s="14" t="str">
        <x:v>Dataverse row modified</x:v>
      </x:c>
      <x:c r="E5" s="14" t="str">
        <x:v>Matter / Family Baseline</x:v>
      </x:c>
      <x:c r="F5" s="14" t="str">
        <x:v>family/tax/MAPT fields changed</x:v>
      </x:c>
      <x:c r="G5" s="14" t="str">
        <x:v>Hash routing inputs</x:v>
      </x:c>
      <x:c r="H5" s="14" t="str">
        <x:v>Multiple per matter</x:v>
      </x:c>
      <x:c r="I5" s="14" t="str">
        <x:v>Re-evaluates hard gates.</x:v>
      </x:c>
    </x:row>
    <x:row r="6">
      <x:c r="A6" s="14" t="str">
        <x:v>TR-005</x:v>
      </x:c>
      <x:c r="B6" s="14" t="str">
        <x:v>PA-005</x:v>
      </x:c>
      <x:c r="C6" s="14" t="str">
        <x:v>Module answer saved</x:v>
      </x:c>
      <x:c r="D6" s="14" t="str">
        <x:v>Dataverse row created/modified</x:v>
      </x:c>
      <x:c r="E6" s="14" t="str">
        <x:v>Interview Answer</x:v>
      </x:c>
      <x:c r="F6" s="14" t="str">
        <x:v>answer_status = 'Final' or 'Updated'</x:v>
      </x:c>
      <x:c r="G6" s="14" t="str">
        <x:v>Module ID + answer timestamp</x:v>
      </x:c>
      <x:c r="H6" s="14" t="str">
        <x:v>Many per interview</x:v>
      </x:c>
      <x:c r="I6" s="14" t="str">
        <x:v>Controls navigation.</x:v>
      </x:c>
    </x:row>
    <x:row r="7">
      <x:c r="A7" s="14" t="str">
        <x:v>TR-006</x:v>
      </x:c>
      <x:c r="B7" s="14" t="str">
        <x:v>PA-006</x:v>
      </x:c>
      <x:c r="C7" s="14" t="str">
        <x:v>Scoring inputs complete</x:v>
      </x:c>
      <x:c r="D7" s="14" t="str">
        <x:v>Dataverse row modified</x:v>
      </x:c>
      <x:c r="E7" s="14" t="str">
        <x:v>Routing Result / Score Profile</x:v>
      </x:c>
      <x:c r="F7" s="14" t="str">
        <x:v>routing_status = 'Complete' AND pcode_status = 'Calculated'</x:v>
      </x:c>
      <x:c r="G7" s="14" t="str">
        <x:v>One recommendation per score version</x:v>
      </x:c>
      <x:c r="H7" s="14" t="str">
        <x:v>Per major score update</x:v>
      </x:c>
      <x:c r="I7" s="14" t="str">
        <x:v>Recommendation only.</x:v>
      </x:c>
    </x:row>
    <x:row r="8">
      <x:c r="A8" s="14" t="str">
        <x:v>TR-007</x:v>
      </x:c>
      <x:c r="B8" s="14" t="str">
        <x:v>PA-007</x:v>
      </x:c>
      <x:c r="C8" s="14" t="str">
        <x:v>Scenario candidate changed</x:v>
      </x:c>
      <x:c r="D8" s="14" t="str">
        <x:v>Dataverse row modified</x:v>
      </x:c>
      <x:c r="E8" s="14" t="str">
        <x:v>Scenario Recommendation</x:v>
      </x:c>
      <x:c r="F8" s="14" t="str">
        <x:v>scenario_recommendation_version changed</x:v>
      </x:c>
      <x:c r="G8" s="14" t="str">
        <x:v>Delete/reconcile old candidate triggers carefully</x:v>
      </x:c>
      <x:c r="H8" s="14" t="str">
        <x:v>Per scenario update</x:v>
      </x:c>
      <x:c r="I8" s="14" t="str">
        <x:v>Clause triggers generated.</x:v>
      </x:c>
    </x:row>
    <x:row r="9">
      <x:c r="A9" s="14" t="str">
        <x:v>TR-008</x:v>
      </x:c>
      <x:c r="B9" s="14" t="str">
        <x:v>PA-008</x:v>
      </x:c>
      <x:c r="C9" s="14" t="str">
        <x:v>QC relevant data changed</x:v>
      </x:c>
      <x:c r="D9" s="14" t="str">
        <x:v>Dataverse row modified</x:v>
      </x:c>
      <x:c r="E9" s="14" t="str">
        <x:v>Any core table</x:v>
      </x:c>
      <x:c r="F9" s="14" t="str">
        <x:v>tracked field changed</x:v>
      </x:c>
      <x:c r="G9" s="14" t="str">
        <x:v>Batch by matter; prevent recursion</x:v>
      </x:c>
      <x:c r="H9" s="14" t="str">
        <x:v>Frequent</x:v>
      </x:c>
      <x:c r="I9" s="14" t="str">
        <x:v>Central validation.</x:v>
      </x:c>
    </x:row>
    <x:row r="10">
      <x:c r="A10" s="14" t="str">
        <x:v>TR-009</x:v>
      </x:c>
      <x:c r="B10" s="14" t="str">
        <x:v>PA-009</x:v>
      </x:c>
      <x:c r="C10" s="14" t="str">
        <x:v>Attorney requests confirmation</x:v>
      </x:c>
      <x:c r="D10" s="14" t="str">
        <x:v>Manual button</x:v>
      </x:c>
      <x:c r="E10" s="14" t="str">
        <x:v>Power App / Copilot Action</x:v>
      </x:c>
      <x:c r="F10" s="14" t="str">
        <x:v>Matter status = 'Ready for Attorney Confirmation'</x:v>
      </x:c>
      <x:c r="G10" s="14" t="str">
        <x:v>Check active approval absent</x:v>
      </x:c>
      <x:c r="H10" s="14" t="str">
        <x:v>Per matter</x:v>
      </x:c>
      <x:c r="I10" s="14" t="str">
        <x:v>Layer 4 approval.</x:v>
      </x:c>
    </x:row>
    <x:row r="11">
      <x:c r="A11" s="14" t="str">
        <x:v>TR-010</x:v>
      </x:c>
      <x:c r="B11" s="14" t="str">
        <x:v>PA-010</x:v>
      </x:c>
      <x:c r="C11" s="14" t="str">
        <x:v>Senior review flag created</x:v>
      </x:c>
      <x:c r="D11" s="14" t="str">
        <x:v>Dataverse row created</x:v>
      </x:c>
      <x:c r="E11" s="14" t="str">
        <x:v>Senior Review Flag</x:v>
      </x:c>
      <x:c r="F11" s="14" t="str">
        <x:v>status = 'Open'</x:v>
      </x:c>
      <x:c r="G11" s="14" t="str">
        <x:v>Check no active review task exists</x:v>
      </x:c>
      <x:c r="H11" s="14" t="str">
        <x:v>As needed</x:v>
      </x:c>
      <x:c r="I11" s="14" t="str">
        <x:v>Blocks drafting.</x:v>
      </x:c>
    </x:row>
    <x:row r="12">
      <x:c r="A12" s="14" t="str">
        <x:v>TR-011</x:v>
      </x:c>
      <x:c r="B12" s="14" t="str">
        <x:v>PA-012</x:v>
      </x:c>
      <x:c r="C12" s="14" t="str">
        <x:v>Matter drafting ready</x:v>
      </x:c>
      <x:c r="D12" s="14" t="str">
        <x:v>Dataverse row modified / button</x:v>
      </x:c>
      <x:c r="E12" s="14" t="str">
        <x:v>Matter</x:v>
      </x:c>
      <x:c r="F12" s="14" t="str">
        <x:v>matter_status = 'Drafting Ready'</x:v>
      </x:c>
      <x:c r="G12" s="14" t="str">
        <x:v>Require confirmation snapshot exists</x:v>
      </x:c>
      <x:c r="H12" s="14" t="str">
        <x:v>Per matter</x:v>
      </x:c>
      <x:c r="I12" s="14" t="str">
        <x:v>Generates handoff.</x:v>
      </x:c>
    </x:row>
    <x:row r="13">
      <x:c r="A13" s="14" t="str">
        <x:v>TR-012</x:v>
      </x:c>
      <x:c r="B13" s="14" t="str">
        <x:v>PA-015</x:v>
      </x:c>
      <x:c r="C13" s="14" t="str">
        <x:v>EP-APP or MAPT module complete</x:v>
      </x:c>
      <x:c r="D13" s="14" t="str">
        <x:v>Dataverse row modified</x:v>
      </x:c>
      <x:c r="E13" s="14" t="str">
        <x:v>MAPT Funding Module</x:v>
      </x:c>
      <x:c r="F13" s="14" t="str">
        <x:v>plan_code = 'EP-APP' AND module_status = 'Complete'</x:v>
      </x:c>
      <x:c r="G13" s="14" t="str">
        <x:v>Reject EP-AIP</x:v>
      </x:c>
      <x:c r="H13" s="14" t="str">
        <x:v>Only EP-APP matters</x:v>
      </x:c>
      <x:c r="I13" s="14" t="str">
        <x:v>MAPT funding checklist.</x:v>
      </x:c>
    </x:row>
    <x:row r="14">
      <x:c r="A14" s="14" t="str">
        <x:v>TR-013</x:v>
      </x:c>
      <x:c r="B14" s="14" t="str">
        <x:v>PA-019</x:v>
      </x:c>
      <x:c r="C14" s="14" t="str">
        <x:v>Nightly audit</x:v>
      </x:c>
      <x:c r="D14" s="14" t="str">
        <x:v>Scheduled</x:v>
      </x:c>
      <x:c r="E14" s="14" t="str">
        <x:v>Power Automate</x:v>
      </x:c>
      <x:c r="F14" s="14" t="str">
        <x:v>Every day 2:00 AM</x:v>
      </x:c>
      <x:c r="G14" s="14" t="str">
        <x:v>Skip weekends optional</x:v>
      </x:c>
      <x:c r="H14" s="14" t="str">
        <x:v>Daily</x:v>
      </x:c>
      <x:c r="I14" s="14" t="str">
        <x:v>Admin audit report.</x:v>
      </x:c>
    </x:row>
  </x:sheetData>
  <x:pageMargins left="0.7" right="0.7" top="0.75" bottom="0.75" header="0.3" footer="0.3"/>
  <x:tableParts count="1">
    <x:tablePart xmlns:r="http://schemas.openxmlformats.org/officeDocument/2006/relationships" r:id="R53bb2a946e66492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5" hidden="0" customWidth="1"/>
    <x:col min="4" max="4" width="30" hidden="0" customWidth="1"/>
    <x:col min="5" max="5" width="40" hidden="0" customWidth="1"/>
    <x:col min="6" max="6" width="45" hidden="0" customWidth="1"/>
    <x:col min="7" max="7" width="35" hidden="0" customWidth="1"/>
  </x:cols>
  <x:sheetData>
    <x:row r="1" ht="30" customHeight="1">
      <x:c r="A1" s="6" t="str">
        <x:v>Flow ID</x:v>
      </x:c>
      <x:c r="B1" s="6" t="str">
        <x:v>Input Entity / File</x:v>
      </x:c>
      <x:c r="C1" s="6" t="str">
        <x:v>Input Fields</x:v>
      </x:c>
      <x:c r="D1" s="6" t="str">
        <x:v>Output Entity / File</x:v>
      </x:c>
      <x:c r="E1" s="6" t="str">
        <x:v>Output Fields</x:v>
      </x:c>
      <x:c r="F1" s="6" t="str">
        <x:v>Data Quality Rule</x:v>
      </x:c>
      <x:c r="G1" s="6" t="str">
        <x:v>Versioning Requirement</x:v>
      </x:c>
    </x:row>
    <x:row r="2">
      <x:c r="A2" s="14" t="str">
        <x:v>PA-001</x:v>
      </x:c>
      <x:c r="B2" s="14" t="str">
        <x:v>Matter</x:v>
      </x:c>
      <x:c r="C2" s="14" t="str">
        <x:v>matter_id, client names, responsible attorney, intake status</x:v>
      </x:c>
      <x:c r="D2" s="14" t="str">
        <x:v>Matter Library; Client rows</x:v>
      </x:c>
      <x:c r="E2" s="14" t="str">
        <x:v>folder_url, client records, initial status</x:v>
      </x:c>
      <x:c r="F2" s="14" t="str">
        <x:v>Matter ID unique; names not blank</x:v>
      </x:c>
      <x:c r="G2" s="14" t="str">
        <x:v>Initial workspace version logged.</x:v>
      </x:c>
    </x:row>
    <x:row r="3">
      <x:c r="A3" s="14" t="str">
        <x:v>PA-002</x:v>
      </x:c>
      <x:c r="B3" s="14" t="str">
        <x:v>Pre-Interview Review</x:v>
      </x:c>
      <x:c r="C3" s="14" t="str">
        <x:v>gross_estate, tax posture, assets, family flags, disability flags</x:v>
      </x:c>
      <x:c r="D3" s="14" t="str">
        <x:v>Senior Review Flag; Routing Result</x:v>
      </x:c>
      <x:c r="E3" s="14" t="str">
        <x:v>flag_type, severity, rule_id, status</x:v>
      </x:c>
      <x:c r="F3" s="14" t="str">
        <x:v>Missing required fields create blocker/homework</x:v>
      </x:c>
      <x:c r="G3" s="14" t="str">
        <x:v>Review rule version captured.</x:v>
      </x:c>
    </x:row>
    <x:row r="4">
      <x:c r="A4" s="14" t="str">
        <x:v>PA-003</x:v>
      </x:c>
      <x:c r="B4" s="14" t="str">
        <x:v>Priority Selection</x:v>
      </x:c>
      <x:c r="C4" s="14" t="str">
        <x:v>client_priority_code, rank, selected flag</x:v>
      </x:c>
      <x:c r="D4" s="14" t="str">
        <x:v>Priority Score</x:v>
      </x:c>
      <x:c r="E4" s="14" t="str">
        <x:v>p_code, points, source_answer_id</x:v>
      </x:c>
      <x:c r="F4" s="14" t="str">
        <x:v>Top-three rank optional but must preserve all checked selections</x:v>
      </x:c>
      <x:c r="G4" s="14" t="str">
        <x:v>P-code translation version captured.</x:v>
      </x:c>
    </x:row>
    <x:row r="5">
      <x:c r="A5" s="14" t="str">
        <x:v>PA-004</x:v>
      </x:c>
      <x:c r="B5" s="14" t="str">
        <x:v>Matter / Family Baseline</x:v>
      </x:c>
      <x:c r="C5" s="14" t="str">
        <x:v>family type, tax posture, MAPT interest, AIP interest</x:v>
      </x:c>
      <x:c r="D5" s="14" t="str">
        <x:v>Routing Result; Conflict Alert</x:v>
      </x:c>
      <x:c r="E5" s="14" t="str">
        <x:v>eligible_plans, excluded_scenarios, review flags</x:v>
      </x:c>
      <x:c r="F5" s="14" t="str">
        <x:v>MAPT and EP-AIP cannot both route as selected scenarios</x:v>
      </x:c>
      <x:c r="G5" s="14" t="str">
        <x:v>Routing rules version captured.</x:v>
      </x:c>
    </x:row>
    <x:row r="6">
      <x:c r="A6" s="14" t="str">
        <x:v>PA-005</x:v>
      </x:c>
      <x:c r="B6" s="14" t="str">
        <x:v>Interview Answer</x:v>
      </x:c>
      <x:c r="C6" s="14" t="str">
        <x:v>module_id, question_id, answer_id, answer_value</x:v>
      </x:c>
      <x:c r="D6" s="14" t="str">
        <x:v>Module State</x:v>
      </x:c>
      <x:c r="E6" s="14" t="str">
        <x:v>current_state, next_module_id, completion_status</x:v>
      </x:c>
      <x:c r="F6" s="14" t="str">
        <x:v>Required fields must be answered before exit</x:v>
      </x:c>
      <x:c r="G6" s="14" t="str">
        <x:v>Module state version captured.</x:v>
      </x:c>
    </x:row>
    <x:row r="7">
      <x:c r="A7" s="14" t="str">
        <x:v>PA-006</x:v>
      </x:c>
      <x:c r="B7" s="14" t="str">
        <x:v>Priority Score; Scenario Score Inputs</x:v>
      </x:c>
      <x:c r="C7" s="14" t="str">
        <x:v>p_code totals, answer scores, route exclusions</x:v>
      </x:c>
      <x:c r="D7" s="14" t="str">
        <x:v>Scenario Recommendation</x:v>
      </x:c>
      <x:c r="E7" s="14" t="str">
        <x:v>plan_code, scenario_code, confidence, rationale</x:v>
      </x:c>
      <x:c r="F7" s="14" t="str">
        <x:v>Exclude scenarios before ranking</x:v>
      </x:c>
      <x:c r="G7" s="14" t="str">
        <x:v>Scoring engine version captured.</x:v>
      </x:c>
    </x:row>
    <x:row r="8">
      <x:c r="A8" s="14" t="str">
        <x:v>PA-007</x:v>
      </x:c>
      <x:c r="B8" s="14" t="str">
        <x:v>Scenario Recommendation; Clause Mapping</x:v>
      </x:c>
      <x:c r="C8" s="14" t="str">
        <x:v>scenario_code, answer triggers, clause map</x:v>
      </x:c>
      <x:c r="D8" s="14" t="str">
        <x:v>Clause Trigger</x:v>
      </x:c>
      <x:c r="E8" s="14" t="str">
        <x:v>clause_id, status, document type, review flag</x:v>
      </x:c>
      <x:c r="F8" s="14" t="str">
        <x:v>Placeholder/legacy clauses require review</x:v>
      </x:c>
      <x:c r="G8" s="14" t="str">
        <x:v>Clause mapping version captured.</x:v>
      </x:c>
    </x:row>
    <x:row r="9">
      <x:c r="A9" s="14" t="str">
        <x:v>PA-008</x:v>
      </x:c>
      <x:c r="B9" s="14" t="str">
        <x:v>Matter-wide inputs</x:v>
      </x:c>
      <x:c r="C9" s="14" t="str">
        <x:v>answers, flags, clauses, fiduciaries, assets</x:v>
      </x:c>
      <x:c r="D9" s="14" t="str">
        <x:v>QC Alert; Matter QC Status</x:v>
      </x:c>
      <x:c r="E9" s="14" t="str">
        <x:v>alert_id, severity, status, message</x:v>
      </x:c>
      <x:c r="F9" s="14" t="str">
        <x:v>Blockers prevent Drafting Ready</x:v>
      </x:c>
      <x:c r="G9" s="14" t="str">
        <x:v>Alert library version captured.</x:v>
      </x:c>
    </x:row>
    <x:row r="10">
      <x:c r="A10" s="14" t="str">
        <x:v>PA-009</x:v>
      </x:c>
      <x:c r="B10" s="14" t="str">
        <x:v>Scenario Recommendation; QC Status</x:v>
      </x:c>
      <x:c r="C10" s="14" t="str">
        <x:v>recommended plan/scenario, alerts, flags</x:v>
      </x:c>
      <x:c r="D10" s="14" t="str">
        <x:v>Attorney Confirmation</x:v>
      </x:c>
      <x:c r="E10" s="14" t="str">
        <x:v>final plan/scenario, accepted/modified/override, reason</x:v>
      </x:c>
      <x:c r="F10" s="14" t="str">
        <x:v>Override reason required if not accepted</x:v>
      </x:c>
      <x:c r="G10" s="14" t="str">
        <x:v>Confirmation creates snapshot.</x:v>
      </x:c>
    </x:row>
    <x:row r="11">
      <x:c r="A11" s="14" t="str">
        <x:v>PA-010</x:v>
      </x:c>
      <x:c r="B11" s="14" t="str">
        <x:v>Senior Review Flag</x:v>
      </x:c>
      <x:c r="C11" s="14" t="str">
        <x:v>flag type, matter, reason</x:v>
      </x:c>
      <x:c r="D11" s="14" t="str">
        <x:v>Senior Review Task</x:v>
      </x:c>
      <x:c r="E11" s="14" t="str">
        <x:v>assigned senior attorney, status, clearance note</x:v>
      </x:c>
      <x:c r="F11" s="14" t="str">
        <x:v>Clearance required before drafting ready</x:v>
      </x:c>
      <x:c r="G11" s="14" t="str">
        <x:v>Reviewer/action audit captured.</x:v>
      </x:c>
    </x:row>
    <x:row r="12">
      <x:c r="A12" s="14" t="str">
        <x:v>PA-011</x:v>
      </x:c>
      <x:c r="B12" s="14" t="str">
        <x:v>Matter; Confirmation; Clause Trigger</x:v>
      </x:c>
      <x:c r="C12" s="14" t="str">
        <x:v>all merge fields per 12O</x:v>
      </x:c>
      <x:c r="D12" s="14" t="str">
        <x:v>Attorney Design Summary</x:v>
      </x:c>
      <x:c r="E12" s="14" t="str">
        <x:v>DOCX/PDF URL, generation status</x:v>
      </x:c>
      <x:c r="F12" s="14" t="str">
        <x:v>Template fields must validate before generation</x:v>
      </x:c>
      <x:c r="G12" s="14" t="str">
        <x:v>Template version captured.</x:v>
      </x:c>
    </x:row>
    <x:row r="13">
      <x:c r="A13" s="14" t="str">
        <x:v>PA-012</x:v>
      </x:c>
      <x:c r="B13" s="14" t="str">
        <x:v>Matter; Confirmation; Clause Trigger; QC</x:v>
      </x:c>
      <x:c r="C13" s="14" t="str">
        <x:v>confirmed design, final clauses, notes</x:v>
      </x:c>
      <x:c r="D13" s="14" t="str">
        <x:v>Drafting Handoff</x:v>
      </x:c>
      <x:c r="E13" s="14" t="str">
        <x:v>DOCX/PDF URL, handoff status</x:v>
      </x:c>
      <x:c r="F13" s="14" t="str">
        <x:v>No active blockers; confirmation snapshot exists</x:v>
      </x:c>
      <x:c r="G13" s="14" t="str">
        <x:v>Template version captured.</x:v>
      </x:c>
    </x:row>
    <x:row r="14">
      <x:c r="A14" s="14" t="str">
        <x:v>PA-014</x:v>
      </x:c>
      <x:c r="B14" s="14" t="str">
        <x:v>Asset; Beneficiary Designation Review</x:v>
      </x:c>
      <x:c r="C14" s="14" t="str">
        <x:v>asset type, current beneficiary, intended plan</x:v>
      </x:c>
      <x:c r="D14" s="14" t="str">
        <x:v>Conflict Alert; Funding Checklist</x:v>
      </x:c>
      <x:c r="E14" s="14" t="str">
        <x:v>conflict type, review status, action item</x:v>
      </x:c>
      <x:c r="F14" s="14" t="str">
        <x:v>Unknown current beneficiary creates homework</x:v>
      </x:c>
      <x:c r="G14" s="14" t="str">
        <x:v>Review module version captured.</x:v>
      </x:c>
    </x:row>
    <x:row r="15">
      <x:c r="A15" s="14" t="str">
        <x:v>PA-015</x:v>
      </x:c>
      <x:c r="B15" s="14" t="str">
        <x:v>Asset; MAPT Funding Module</x:v>
      </x:c>
      <x:c r="C15" s="14" t="str">
        <x:v>candidate assets, title, exemptions, mortgage</x:v>
      </x:c>
      <x:c r="D15" s="14" t="str">
        <x:v>MAPT Funding Checklist; Review Flags</x:v>
      </x:c>
      <x:c r="E15" s="14" t="str">
        <x:v>candidate status, review flags, checklist URL</x:v>
      </x:c>
      <x:c r="F15" s="14" t="str">
        <x:v>Only EP-APP; never EP-AIP</x:v>
      </x:c>
      <x:c r="G15" s="14" t="str">
        <x:v>MAPT module version captured.</x:v>
      </x:c>
    </x:row>
    <x:row r="16">
      <x:c r="A16" s="14" t="str">
        <x:v>PA-017</x:v>
      </x:c>
      <x:c r="B16" s="14" t="str">
        <x:v>Matter; Confirmation; Version tables</x:v>
      </x:c>
      <x:c r="C16" s="14" t="str">
        <x:v>final design, scoring/routing/clause/template versions</x:v>
      </x:c>
      <x:c r="D16" s="14" t="str">
        <x:v>Matter Snapshot</x:v>
      </x:c>
      <x:c r="E16" s="14" t="str">
        <x:v>snapshot_id, frozen JSON/file URL</x:v>
      </x:c>
      <x:c r="F16" s="14" t="str">
        <x:v>Snapshot must be immutable for historical record</x:v>
      </x:c>
      <x:c r="G16" s="14" t="str">
        <x:v>Snapshot is versioned and locked.</x:v>
      </x:c>
    </x:row>
  </x:sheetData>
  <x:pageMargins left="0.7" right="0.7" top="0.75" bottom="0.75" header="0.3" footer="0.3"/>
  <x:tableParts count="1">
    <x:tablePart xmlns:r="http://schemas.openxmlformats.org/officeDocument/2006/relationships" r:id="Rfb2b1567330044a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0" hidden="0" customWidth="1"/>
    <x:col min="4" max="4" width="28" hidden="0" customWidth="1"/>
    <x:col min="5" max="5" width="45" hidden="0" customWidth="1"/>
    <x:col min="6" max="6" width="45" hidden="0" customWidth="1"/>
    <x:col min="7" max="7" width="16" hidden="0" customWidth="1"/>
    <x:col min="8" max="8" width="45" hidden="0" customWidth="1"/>
    <x:col min="9" max="9" width="55" hidden="0" customWidth="1"/>
  </x:cols>
  <x:sheetData>
    <x:row r="1" ht="30" customHeight="1">
      <x:c r="A1" s="6" t="str">
        <x:v>Approval ID</x:v>
      </x:c>
      <x:c r="B1" s="6" t="str">
        <x:v>Flow ID</x:v>
      </x:c>
      <x:c r="C1" s="6" t="str">
        <x:v>Approval Name</x:v>
      </x:c>
      <x:c r="D1" s="6" t="str">
        <x:v>Approver Role</x:v>
      </x:c>
      <x:c r="E1" s="6" t="str">
        <x:v>Required When</x:v>
      </x:c>
      <x:c r="F1" s="6" t="str">
        <x:v>Approval Options</x:v>
      </x:c>
      <x:c r="G1" s="6" t="str">
        <x:v>Blocks Drafting?</x:v>
      </x:c>
      <x:c r="H1" s="6" t="str">
        <x:v>Override Handling</x:v>
      </x:c>
      <x:c r="I1" s="6" t="str">
        <x:v>Audit Fields</x:v>
      </x:c>
    </x:row>
    <x:row r="2">
      <x:c r="A2" s="14" t="str">
        <x:v>APP-001</x:v>
      </x:c>
      <x:c r="B2" s="14" t="str">
        <x:v>PA-009</x:v>
      </x:c>
      <x:c r="C2" s="14" t="str">
        <x:v>Attorney Final Confirmation</x:v>
      </x:c>
      <x:c r="D2" s="14" t="str">
        <x:v>Associate Attorney or Senior Attorney</x:v>
      </x:c>
      <x:c r="E2" s="14" t="str">
        <x:v>Design interview complete and no open blocking homework except permitted items</x:v>
      </x:c>
      <x:c r="F2" s="14" t="str">
        <x:v>Accept Recommendation; Modify; Override; Return for More Info</x:v>
      </x:c>
      <x:c r="G2" s="14" t="str">
        <x:v>Yes</x:v>
      </x:c>
      <x:c r="H2" s="14" t="str">
        <x:v>If modify/override, require final plan/scenario and reason</x:v>
      </x:c>
      <x:c r="I2" s="14" t="str">
        <x:v>approver, date, decision, original recommendation, final selection, reason</x:v>
      </x:c>
    </x:row>
    <x:row r="3">
      <x:c r="A3" s="14" t="str">
        <x:v>APP-002</x:v>
      </x:c>
      <x:c r="B3" s="14" t="str">
        <x:v>PA-010</x:v>
      </x:c>
      <x:c r="C3" s="14" t="str">
        <x:v>Senior Review Clearance</x:v>
      </x:c>
      <x:c r="D3" s="14" t="str">
        <x:v>Senior Attorney</x:v>
      </x:c>
      <x:c r="E3" s="14" t="str">
        <x:v>Any senior-review flag open</x:v>
      </x:c>
      <x:c r="F3" s="14" t="str">
        <x:v>Clear; Clear with Conditions; Return for Revision; Escalate</x:v>
      </x:c>
      <x:c r="G3" s="14" t="str">
        <x:v>Yes</x:v>
      </x:c>
      <x:c r="H3" s="14" t="str">
        <x:v>Clear with conditions creates mandatory drafting/proofing notes</x:v>
      </x:c>
      <x:c r="I3" s="14" t="str">
        <x:v>reviewer, date, flag IDs, clearance status, conditions</x:v>
      </x:c>
    </x:row>
    <x:row r="4">
      <x:c r="A4" s="14" t="str">
        <x:v>APP-003</x:v>
      </x:c>
      <x:c r="B4" s="14" t="str">
        <x:v>PA-016</x:v>
      </x:c>
      <x:c r="C4" s="14" t="str">
        <x:v>Placeholder Clause Review</x:v>
      </x:c>
      <x:c r="D4" s="14" t="str">
        <x:v>Senior Attorney or Clause Admin Attorney</x:v>
      </x:c>
      <x:c r="E4" s="14" t="str">
        <x:v>Clause status Placeholder, Needs Review, Legacy-only</x:v>
      </x:c>
      <x:c r="F4" s="14" t="str">
        <x:v>Approve for Drafting; Needs Drafting; Reject; Replace Clause</x:v>
      </x:c>
      <x:c r="G4" s="14" t="str">
        <x:v>Conditional</x:v>
      </x:c>
      <x:c r="H4" s="14" t="str">
        <x:v>Approved placeholder remains flagged until final clause text approved</x:v>
      </x:c>
      <x:c r="I4" s="14" t="str">
        <x:v>reviewer, date, clause ID, decision, comments</x:v>
      </x:c>
    </x:row>
    <x:row r="5">
      <x:c r="A5" s="14" t="str">
        <x:v>APP-004</x:v>
      </x:c>
      <x:c r="B5" s="14" t="str">
        <x:v>PA-015</x:v>
      </x:c>
      <x:c r="C5" s="14" t="str">
        <x:v>MAPT Funding Review</x:v>
      </x:c>
      <x:c r="D5" s="14" t="str">
        <x:v>Senior Attorney</x:v>
      </x:c>
      <x:c r="E5" s="14" t="str">
        <x:v>EP-APP MAPT asset transfer candidates identified</x:v>
      </x:c>
      <x:c r="F5" s="14" t="str">
        <x:v>Approve Candidate; Exclude Asset; Need Title Review; Need Tax Review</x:v>
      </x:c>
      <x:c r="G5" s="14" t="str">
        <x:v>Conditional</x:v>
      </x:c>
      <x:c r="H5" s="14" t="str">
        <x:v>Funding checklist cannot mark asset ready until review cleared</x:v>
      </x:c>
      <x:c r="I5" s="14" t="str">
        <x:v>reviewer, date, asset ID, decision, notes</x:v>
      </x:c>
    </x:row>
    <x:row r="6">
      <x:c r="A6" s="14" t="str">
        <x:v>APP-005</x:v>
      </x:c>
      <x:c r="B6" s="14" t="str">
        <x:v>PA-014</x:v>
      </x:c>
      <x:c r="C6" s="14" t="str">
        <x:v>Beneficiary Designation Attorney Review</x:v>
      </x:c>
      <x:c r="D6" s="14" t="str">
        <x:v>Attorney</x:v>
      </x:c>
      <x:c r="E6" s="14" t="str">
        <x:v>Trust as beneficiary, disabled beneficiary, minor, charity, conflict, large retirement account</x:v>
      </x:c>
      <x:c r="F6" s="14" t="str">
        <x:v>Approve Coordination; Need Beneficiary Form; Need Tax Review; Conflict Remains</x:v>
      </x:c>
      <x:c r="G6" s="14" t="str">
        <x:v>Conditional</x:v>
      </x:c>
      <x:c r="H6" s="14" t="str">
        <x:v>Client homework and paralegal tasks generated from decision</x:v>
      </x:c>
      <x:c r="I6" s="14" t="str">
        <x:v>reviewer, date, asset ID, decision, notes</x:v>
      </x:c>
    </x:row>
  </x:sheetData>
  <x:pageMargins left="0.7" right="0.7" top="0.75" bottom="0.75" header="0.3" footer="0.3"/>
  <x:tableParts count="1">
    <x:tablePart xmlns:r="http://schemas.openxmlformats.org/officeDocument/2006/relationships" r:id="Rc8dfb2703be343a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45" hidden="0" customWidth="1"/>
    <x:col min="5" max="5" width="16" hidden="0" customWidth="1"/>
    <x:col min="6" max="6" width="55" hidden="0" customWidth="1"/>
    <x:col min="7" max="7" width="45" hidden="0" customWidth="1"/>
    <x:col min="8" max="8" width="24" hidden="0" customWidth="1"/>
  </x:cols>
  <x:sheetData>
    <x:row r="1" ht="30" customHeight="1">
      <x:c r="A1" s="6" t="str">
        <x:v>Error ID</x:v>
      </x:c>
      <x:c r="B1" s="6" t="str">
        <x:v>Category</x:v>
      </x:c>
      <x:c r="C1" s="6" t="str">
        <x:v>Applies To Flow(s)</x:v>
      </x:c>
      <x:c r="D1" s="6" t="str">
        <x:v>Condition</x:v>
      </x:c>
      <x:c r="E1" s="6" t="str">
        <x:v>Severity</x:v>
      </x:c>
      <x:c r="F1" s="6" t="str">
        <x:v>User Message</x:v>
      </x:c>
      <x:c r="G1" s="6" t="str">
        <x:v>System Action</x:v>
      </x:c>
      <x:c r="H1" s="6" t="str">
        <x:v>Escalation</x:v>
      </x:c>
    </x:row>
    <x:row r="2">
      <x:c r="A2" s="14" t="str">
        <x:v>ERR-001</x:v>
      </x:c>
      <x:c r="B2" s="14" t="str">
        <x:v>Missing Required Data</x:v>
      </x:c>
      <x:c r="C2" s="14" t="str">
        <x:v>PA-002, PA-005, PA-008</x:v>
      </x:c>
      <x:c r="D2" s="14" t="str">
        <x:v>Required field blank at exit/approval</x:v>
      </x:c>
      <x:c r="E2" s="14" t="str">
        <x:v>Blocker</x:v>
      </x:c>
      <x:c r="F2" s="14" t="str">
        <x:v>Required information is missing before this matter can proceed.</x:v>
      </x:c>
      <x:c r="G2" s="14" t="str">
        <x:v>Create QC alert; prevent next status</x:v>
      </x:c>
      <x:c r="H2" s="14" t="str">
        <x:v>Associate Attorney</x:v>
      </x:c>
    </x:row>
    <x:row r="3">
      <x:c r="A3" s="14" t="str">
        <x:v>ERR-002</x:v>
      </x:c>
      <x:c r="B3" s="14" t="str">
        <x:v>Legal Conflict</x:v>
      </x:c>
      <x:c r="C3" s="14" t="str">
        <x:v>PA-004, PA-008, PA-015</x:v>
      </x:c>
      <x:c r="D3" s="14" t="str">
        <x:v>EP-AIP and MAPT both selected/requested as current route</x:v>
      </x:c>
      <x:c r="E3" s="14" t="str">
        <x:v>Blocker</x:v>
      </x:c>
      <x:c r="F3" s="14" t="str">
        <x:v>Conflict: EP-AIP is a revocable-plan care-spending posture. MAPT belongs to EP-APP.</x:v>
      </x:c>
      <x:c r="G3" s="14" t="str">
        <x:v>Set matter status Needs Attorney Review</x:v>
      </x:c>
      <x:c r="H3" s="14" t="str">
        <x:v>Senior Attorney</x:v>
      </x:c>
    </x:row>
    <x:row r="4">
      <x:c r="A4" s="14" t="str">
        <x:v>ERR-003</x:v>
      </x:c>
      <x:c r="B4" s="14" t="str">
        <x:v>Unauthorized Approval</x:v>
      </x:c>
      <x:c r="C4" s="14" t="str">
        <x:v>PA-009, PA-010</x:v>
      </x:c>
      <x:c r="D4" s="14" t="str">
        <x:v>User lacks approval role</x:v>
      </x:c>
      <x:c r="E4" s="14" t="str">
        <x:v>Blocker</x:v>
      </x:c>
      <x:c r="F4" s="14" t="str">
        <x:v>You do not have permission to approve this legal design step.</x:v>
      </x:c>
      <x:c r="G4" s="14" t="str">
        <x:v>Reject approval action; log attempt</x:v>
      </x:c>
      <x:c r="H4" s="14" t="str">
        <x:v>Admin</x:v>
      </x:c>
    </x:row>
    <x:row r="5">
      <x:c r="A5" s="14" t="str">
        <x:v>ERR-004</x:v>
      </x:c>
      <x:c r="B5" s="14" t="str">
        <x:v>Template Merge Failure</x:v>
      </x:c>
      <x:c r="C5" s="14" t="str">
        <x:v>PA-011, PA-012, PA-013, PA-015</x:v>
      </x:c>
      <x:c r="D5" s="14" t="str">
        <x:v>Word merge fails or required merge field missing</x:v>
      </x:c>
      <x:c r="E5" s="14" t="str">
        <x:v>Error</x:v>
      </x:c>
      <x:c r="F5" s="14" t="str">
        <x:v>The output document could not be generated because a template field failed.</x:v>
      </x:c>
      <x:c r="G5" s="14" t="str">
        <x:v>Create admin task; retain matter status</x:v>
      </x:c>
      <x:c r="H5" s="14" t="str">
        <x:v>System Admin</x:v>
      </x:c>
    </x:row>
    <x:row r="6">
      <x:c r="A6" s="14" t="str">
        <x:v>ERR-005</x:v>
      </x:c>
      <x:c r="B6" s="14" t="str">
        <x:v>Legacy Clause Only</x:v>
      </x:c>
      <x:c r="C6" s="14" t="str">
        <x:v>PA-007, PA-016</x:v>
      </x:c>
      <x:c r="D6" s="14" t="str">
        <x:v>Clause trigger maps only to legacy/placeholder clause</x:v>
      </x:c>
      <x:c r="E6" s="14" t="str">
        <x:v>Attorney Review</x:v>
      </x:c>
      <x:c r="F6" s="14" t="str">
        <x:v>Clause exists only as a legacy or placeholder clause. Attorney review is required before drafting.</x:v>
      </x:c>
      <x:c r="G6" s="14" t="str">
        <x:v>Create clause review task</x:v>
      </x:c>
      <x:c r="H6" s="14" t="str">
        <x:v>Senior Attorney</x:v>
      </x:c>
    </x:row>
    <x:row r="7">
      <x:c r="A7" s="14" t="str">
        <x:v>ERR-006</x:v>
      </x:c>
      <x:c r="B7" s="14" t="str">
        <x:v>Senior Review Open</x:v>
      </x:c>
      <x:c r="C7" s="14" t="str">
        <x:v>PA-009, PA-012</x:v>
      </x:c>
      <x:c r="D7" s="14" t="str">
        <x:v>Open senior review flag exists</x:v>
      </x:c>
      <x:c r="E7" s="14" t="str">
        <x:v>Blocker</x:v>
      </x:c>
      <x:c r="F7" s="14" t="str">
        <x:v>Drafting cannot proceed until senior review is cleared.</x:v>
      </x:c>
      <x:c r="G7" s="14" t="str">
        <x:v>Stop Drafting Ready or handoff generation</x:v>
      </x:c>
      <x:c r="H7" s="14" t="str">
        <x:v>Senior Attorney</x:v>
      </x:c>
    </x:row>
    <x:row r="8">
      <x:c r="A8" s="14" t="str">
        <x:v>ERR-007</x:v>
      </x:c>
      <x:c r="B8" s="14" t="str">
        <x:v>Scoring Tie</x:v>
      </x:c>
      <x:c r="C8" s="14" t="str">
        <x:v>PA-006</x:v>
      </x:c>
      <x:c r="D8" s="14" t="str">
        <x:v>Top scenarios within tie threshold</x:v>
      </x:c>
      <x:c r="E8" s="14" t="str">
        <x:v>Attorney Review</x:v>
      </x:c>
      <x:c r="F8" s="14" t="str">
        <x:v>Scenario scoring is close or tied. Attorney confirmation is required to select the final design.</x:v>
      </x:c>
      <x:c r="G8" s="14" t="str">
        <x:v>Set confidence Low; create review note</x:v>
      </x:c>
      <x:c r="H8" s="14" t="str">
        <x:v>Associate Attorney</x:v>
      </x:c>
    </x:row>
    <x:row r="9">
      <x:c r="A9" s="14" t="str">
        <x:v>ERR-008</x:v>
      </x:c>
      <x:c r="B9" s="14" t="str">
        <x:v>Connector Failure</x:v>
      </x:c>
      <x:c r="C9" s="14" t="str">
        <x:v>All flows</x:v>
      </x:c>
      <x:c r="D9" s="14" t="str">
        <x:v>Dataverse/SharePoint/Word/Teams connector timeout or failure</x:v>
      </x:c>
      <x:c r="E9" s="14" t="str">
        <x:v>Error</x:v>
      </x:c>
      <x:c r="F9" s="14" t="str">
        <x:v>A system connector failed. The matter was not updated completely.</x:v>
      </x:c>
      <x:c r="G9" s="14" t="str">
        <x:v>Retry per policy; log; notify admin after threshold</x:v>
      </x:c>
      <x:c r="H9" s="14" t="str">
        <x:v>System Admin</x:v>
      </x:c>
    </x:row>
    <x:row r="10">
      <x:c r="A10" s="14" t="str">
        <x:v>ERR-009</x:v>
      </x:c>
      <x:c r="B10" s="14" t="str">
        <x:v>Version Snapshot Failure</x:v>
      </x:c>
      <x:c r="C10" s="14" t="str">
        <x:v>PA-017</x:v>
      </x:c>
      <x:c r="D10" s="14" t="str">
        <x:v>Snapshot could not be created after confirmation</x:v>
      </x:c>
      <x:c r="E10" s="14" t="str">
        <x:v>Blocker</x:v>
      </x:c>
      <x:c r="F10" s="14" t="str">
        <x:v>Final design snapshot failed. Drafting release is blocked until the snapshot is created.</x:v>
      </x:c>
      <x:c r="G10" s="14" t="str">
        <x:v>Stop release; create admin task</x:v>
      </x:c>
      <x:c r="H10" s="14" t="str">
        <x:v>System Admin</x:v>
      </x:c>
    </x:row>
    <x:row r="11">
      <x:c r="A11" s="14" t="str">
        <x:v>ERR-010</x:v>
      </x:c>
      <x:c r="B11" s="14" t="str">
        <x:v>Beneficiary Designation Conflict</x:v>
      </x:c>
      <x:c r="C11" s="14" t="str">
        <x:v>PA-014, PA-008</x:v>
      </x:c>
      <x:c r="D11" s="14" t="str">
        <x:v>Beneficiary designation contradicts confirmed estate plan</x:v>
      </x:c>
      <x:c r="E11" s="14" t="str">
        <x:v>Attorney Review</x:v>
      </x:c>
      <x:c r="F11" s="14" t="str">
        <x:v>Beneficiary-designation assets may pass outside the trust or will. Coordination review is required.</x:v>
      </x:c>
      <x:c r="G11" s="14" t="str">
        <x:v>Create review/homework item</x:v>
      </x:c>
      <x:c r="H11" s="14" t="str">
        <x:v>Attorney / Paralegal</x:v>
      </x:c>
    </x:row>
  </x:sheetData>
  <x:pageMargins left="0.7" right="0.7" top="0.75" bottom="0.75" header="0.3" footer="0.3"/>
  <x:tableParts count="1">
    <x:tablePart xmlns:r="http://schemas.openxmlformats.org/officeDocument/2006/relationships" r:id="R39f6d32bce0a495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42" hidden="0" customWidth="1"/>
    <x:col min="4" max="4" width="18" hidden="0" customWidth="1"/>
    <x:col min="5" max="5" width="10" hidden="0" customWidth="1"/>
    <x:col min="6" max="6" width="20" hidden="0" customWidth="1"/>
    <x:col min="7" max="7" width="42" hidden="0" customWidth="1"/>
  </x:cols>
  <x:sheetData>
    <x:row r="1" ht="30" customHeight="1">
      <x:c r="A1" s="6" t="str">
        <x:v>Variable Name</x:v>
      </x:c>
      <x:c r="B1" s="6" t="str">
        <x:v>Purpose</x:v>
      </x:c>
      <x:c r="C1" s="6" t="str">
        <x:v>Example Value</x:v>
      </x:c>
      <x:c r="D1" s="6" t="str">
        <x:v>Environment Scope</x:v>
      </x:c>
      <x:c r="E1" s="6" t="str">
        <x:v>Secret?</x:v>
      </x:c>
      <x:c r="F1" s="6" t="str">
        <x:v>Owner</x:v>
      </x:c>
      <x:c r="G1" s="6" t="str">
        <x:v>Notes</x:v>
      </x:c>
    </x:row>
    <x:row r="2">
      <x:c r="A2" s="14" t="str">
        <x:v>ENV_DATAVERSE_URL</x:v>
      </x:c>
      <x:c r="B2" s="14" t="str">
        <x:v>Dataverse environment URL</x:v>
      </x:c>
      <x:c r="C2" s="14" t="str">
        <x:v>https://org.crm.dynamics.com</x:v>
      </x:c>
      <x:c r="D2" s="14" t="str">
        <x:v>Dev/Test/Prod</x:v>
      </x:c>
      <x:c r="E2" s="14" t="str">
        <x:v>No</x:v>
      </x:c>
      <x:c r="F2" s="14" t="str">
        <x:v>System Admin</x:v>
      </x:c>
      <x:c r="G2" s="14" t="str">
        <x:v>Used by app and flows.</x:v>
      </x:c>
    </x:row>
    <x:row r="3">
      <x:c r="A3" s="14" t="str">
        <x:v>ENV_SHAREPOINT_SITE_URL</x:v>
      </x:c>
      <x:c r="B3" s="14" t="str">
        <x:v>Primary SharePoint site for matter libraries</x:v>
      </x:c>
      <x:c r="C3" s="14" t="str">
        <x:v>https://tenant.sharepoint.com/sites/EPDesign</x:v>
      </x:c>
      <x:c r="D3" s="14" t="str">
        <x:v>Dev/Test/Prod</x:v>
      </x:c>
      <x:c r="E3" s="14" t="str">
        <x:v>No</x:v>
      </x:c>
      <x:c r="F3" s="14" t="str">
        <x:v>System Admin</x:v>
      </x:c>
      <x:c r="G3" s="14" t="str">
        <x:v>Separate dev/test/prod sites preferred.</x:v>
      </x:c>
    </x:row>
    <x:row r="4">
      <x:c r="A4" s="14" t="str">
        <x:v>ENV_MATTER_LIBRARY_NAME</x:v>
      </x:c>
      <x:c r="B4" s="14" t="str">
        <x:v>Document library for matter workspaces</x:v>
      </x:c>
      <x:c r="C4" s="14" t="str">
        <x:v>EP Matters</x:v>
      </x:c>
      <x:c r="D4" s="14" t="str">
        <x:v>Dev/Test/Prod</x:v>
      </x:c>
      <x:c r="E4" s="14" t="str">
        <x:v>No</x:v>
      </x:c>
      <x:c r="F4" s="14" t="str">
        <x:v>System Admin</x:v>
      </x:c>
      <x:c r="G4" s="14" t="str">
        <x:v>Used in folder creation and output storage.</x:v>
      </x:c>
    </x:row>
    <x:row r="5">
      <x:c r="A5" s="14" t="str">
        <x:v>ENV_TEMPLATE_LIBRARY_NAME</x:v>
      </x:c>
      <x:c r="B5" s="14" t="str">
        <x:v>Library for approved Word templates</x:v>
      </x:c>
      <x:c r="C5" s="14" t="str">
        <x:v>EP Output Templates</x:v>
      </x:c>
      <x:c r="D5" s="14" t="str">
        <x:v>Dev/Test/Prod</x:v>
      </x:c>
      <x:c r="E5" s="14" t="str">
        <x:v>No</x:v>
      </x:c>
      <x:c r="F5" s="14" t="str">
        <x:v>Admin</x:v>
      </x:c>
      <x:c r="G5" s="14" t="str">
        <x:v>Template versioning required.</x:v>
      </x:c>
    </x:row>
    <x:row r="6">
      <x:c r="A6" s="14" t="str">
        <x:v>ENV_NOTIFICATION_TEAM_ID</x:v>
      </x:c>
      <x:c r="B6" s="14" t="str">
        <x:v>Teams destination for build/admin notifications</x:v>
      </x:c>
      <x:c r="C6" s="14" t="str">
        <x:v>&lt;team-guid&gt;</x:v>
      </x:c>
      <x:c r="D6" s="14" t="str">
        <x:v>Dev/Test/Prod</x:v>
      </x:c>
      <x:c r="E6" s="14" t="str">
        <x:v>No</x:v>
      </x:c>
      <x:c r="F6" s="14" t="str">
        <x:v>System Admin</x:v>
      </x:c>
      <x:c r="G6" s="14" t="str">
        <x:v>Avoid PHI/PII in notifications.</x:v>
      </x:c>
    </x:row>
    <x:row r="7">
      <x:c r="A7" s="14" t="str">
        <x:v>ENV_WORD_TEMPLATE_ATTORNEY_SUMMARY</x:v>
      </x:c>
      <x:c r="B7" s="14" t="str">
        <x:v>Attorney Design Summary template path</x:v>
      </x:c>
      <x:c r="C7" s="14" t="str">
        <x:v>/Templates/AttorneyDesignSummary.docx</x:v>
      </x:c>
      <x:c r="D7" s="14" t="str">
        <x:v>Dev/Test/Prod</x:v>
      </x:c>
      <x:c r="E7" s="14" t="str">
        <x:v>No</x:v>
      </x:c>
      <x:c r="F7" s="14" t="str">
        <x:v>Admin</x:v>
      </x:c>
      <x:c r="G7" s="14" t="str">
        <x:v>Must match 12O merge field map.</x:v>
      </x:c>
    </x:row>
    <x:row r="8">
      <x:c r="A8" s="14" t="str">
        <x:v>ENV_WORD_TEMPLATE_DRAFTING_HANDOFF</x:v>
      </x:c>
      <x:c r="B8" s="14" t="str">
        <x:v>Drafting Handoff template path</x:v>
      </x:c>
      <x:c r="C8" s="14" t="str">
        <x:v>/Templates/DraftingHandoff.docx</x:v>
      </x:c>
      <x:c r="D8" s="14" t="str">
        <x:v>Dev/Test/Prod</x:v>
      </x:c>
      <x:c r="E8" s="14" t="str">
        <x:v>No</x:v>
      </x:c>
      <x:c r="F8" s="14" t="str">
        <x:v>Admin</x:v>
      </x:c>
      <x:c r="G8" s="14" t="str">
        <x:v>Generated only after Drafting Ready.</x:v>
      </x:c>
    </x:row>
    <x:row r="9">
      <x:c r="A9" s="14" t="str">
        <x:v>ENV_APPROVAL_TIMEOUT_DAYS</x:v>
      </x:c>
      <x:c r="B9" s="14" t="str">
        <x:v>Approval reminder/escalation setting</x:v>
      </x:c>
      <x:c r="C9" s="14" t="str">
        <x:v>5</x:v>
      </x:c>
      <x:c r="D9" s="14" t="str">
        <x:v>Dev/Test/Prod</x:v>
      </x:c>
      <x:c r="E9" s="14" t="str">
        <x:v>No</x:v>
      </x:c>
      <x:c r="F9" s="14" t="str">
        <x:v>Admin</x:v>
      </x:c>
      <x:c r="G9" s="14" t="str">
        <x:v>Used for attorney/senior review tasks.</x:v>
      </x:c>
    </x:row>
    <x:row r="10">
      <x:c r="A10" s="14" t="str">
        <x:v>ENV_AUDIT_RETENTION_YEARS</x:v>
      </x:c>
      <x:c r="B10" s="14" t="str">
        <x:v>Audit record retention period</x:v>
      </x:c>
      <x:c r="C10" s="14" t="str">
        <x:v>7</x:v>
      </x:c>
      <x:c r="D10" s="14" t="str">
        <x:v>Prod</x:v>
      </x:c>
      <x:c r="E10" s="14" t="str">
        <x:v>No</x:v>
      </x:c>
      <x:c r="F10" s="14" t="str">
        <x:v>Admin</x:v>
      </x:c>
      <x:c r="G10" s="14" t="str">
        <x:v>Confirm firm retention policy.</x:v>
      </x:c>
    </x:row>
    <x:row r="11">
      <x:c r="A11" s="14" t="str">
        <x:v>ENV_BACKUP_LIBRARY_NAME</x:v>
      </x:c>
      <x:c r="B11" s="14" t="str">
        <x:v>Library for exported build packages</x:v>
      </x:c>
      <x:c r="C11" s="14" t="str">
        <x:v>EP Build Backups</x:v>
      </x:c>
      <x:c r="D11" s="14" t="str">
        <x:v>Dev/Test/Prod</x:v>
      </x:c>
      <x:c r="E11" s="14" t="str">
        <x:v>No</x:v>
      </x:c>
      <x:c r="F11" s="14" t="str">
        <x:v>System Admin</x:v>
      </x:c>
      <x:c r="G11" s="14" t="str">
        <x:v>Used by PA-020.</x:v>
      </x:c>
    </x:row>
  </x:sheetData>
  <x:pageMargins left="0.7" right="0.7" top="0.75" bottom="0.75" header="0.3" footer="0.3"/>
  <x:tableParts count="1">
    <x:tablePart xmlns:r="http://schemas.openxmlformats.org/officeDocument/2006/relationships" r:id="R09383951e95d423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5" hidden="0" customWidth="1"/>
    <x:col min="4" max="4" width="24" hidden="0" customWidth="1"/>
    <x:col min="5" max="5" width="30" hidden="0" customWidth="1"/>
    <x:col min="6" max="6" width="24" hidden="0" customWidth="1"/>
    <x:col min="7" max="7" width="44" hidden="0" customWidth="1"/>
  </x:cols>
  <x:sheetData>
    <x:row r="1" ht="30" customHeight="1">
      <x:c r="A1" s="6" t="str">
        <x:v>Flow ID</x:v>
      </x:c>
      <x:c r="B1" s="6" t="str">
        <x:v>Run Log Table</x:v>
      </x:c>
      <x:c r="C1" s="6" t="str">
        <x:v>Key Metrics</x:v>
      </x:c>
      <x:c r="D1" s="6" t="str">
        <x:v>Alert Threshold</x:v>
      </x:c>
      <x:c r="E1" s="6" t="str">
        <x:v>Dashboard Tile</x:v>
      </x:c>
      <x:c r="F1" s="6" t="str">
        <x:v>Retention</x:v>
      </x:c>
      <x:c r="G1" s="6" t="str">
        <x:v>Notes</x:v>
      </x:c>
    </x:row>
    <x:row r="2">
      <x:c r="A2" s="14" t="str">
        <x:v>PA-001</x:v>
      </x:c>
      <x:c r="B2" s="14" t="str">
        <x:v>Flow Run Log</x:v>
      </x:c>
      <x:c r="C2" s="14" t="str">
        <x:v>workspace_created_count, failures, duplicate attempts</x:v>
      </x:c>
      <x:c r="D2" s="14" t="str">
        <x:v>Any failure</x:v>
      </x:c>
      <x:c r="E2" s="14" t="str">
        <x:v>Matter Workspace Creation</x:v>
      </x:c>
      <x:c r="F2" s="14" t="str">
        <x:v>7 years</x:v>
      </x:c>
      <x:c r="G2" s="14" t="str">
        <x:v>Critical onboarding flow.</x:v>
      </x:c>
    </x:row>
    <x:row r="3">
      <x:c r="A3" s="14" t="str">
        <x:v>PA-002</x:v>
      </x:c>
      <x:c r="B3" s="14" t="str">
        <x:v>Flow Run Log</x:v>
      </x:c>
      <x:c r="C3" s="14" t="str">
        <x:v>review_flags_created, blocked matters, missing fields</x:v>
      </x:c>
      <x:c r="D3" s="14" t="str">
        <x:v>Failure or &gt;10 blocked/day</x:v>
      </x:c>
      <x:c r="E3" s="14" t="str">
        <x:v>Pre-Interview Gate</x:v>
      </x:c>
      <x:c r="F3" s="14" t="str">
        <x:v>7 years</x:v>
      </x:c>
      <x:c r="G3" s="14" t="str">
        <x:v>Useful for intake quality improvements.</x:v>
      </x:c>
    </x:row>
    <x:row r="4">
      <x:c r="A4" s="14" t="str">
        <x:v>PA-003</x:v>
      </x:c>
      <x:c r="B4" s="14" t="str">
        <x:v>Score Run Log</x:v>
      </x:c>
      <x:c r="C4" s="14" t="str">
        <x:v>priority score run count, failures</x:v>
      </x:c>
      <x:c r="D4" s="14" t="str">
        <x:v>Any failure</x:v>
      </x:c>
      <x:c r="E4" s="14" t="str">
        <x:v>Priority Scoring</x:v>
      </x:c>
      <x:c r="F4" s="14" t="str">
        <x:v>7 years</x:v>
      </x:c>
      <x:c r="G4" s="14" t="str">
        <x:v>Scores are legal design inputs; preserve run history.</x:v>
      </x:c>
    </x:row>
    <x:row r="5">
      <x:c r="A5" s="14" t="str">
        <x:v>PA-004</x:v>
      </x:c>
      <x:c r="B5" s="14" t="str">
        <x:v>Rule Evaluation Log</x:v>
      </x:c>
      <x:c r="C5" s="14" t="str">
        <x:v>rules applied, exclusions, hard gates</x:v>
      </x:c>
      <x:c r="D5" s="14" t="str">
        <x:v>Any hard gate error</x:v>
      </x:c>
      <x:c r="E5" s="14" t="str">
        <x:v>Routing Rules</x:v>
      </x:c>
      <x:c r="F5" s="14" t="str">
        <x:v>7 years</x:v>
      </x:c>
      <x:c r="G5" s="14" t="str">
        <x:v>Shows why matter routed to specific track.</x:v>
      </x:c>
    </x:row>
    <x:row r="6">
      <x:c r="A6" s="14" t="str">
        <x:v>PA-006</x:v>
      </x:c>
      <x:c r="B6" s="14" t="str">
        <x:v>Score Run Log</x:v>
      </x:c>
      <x:c r="C6" s="14" t="str">
        <x:v>scenario recommendation, confidence, tie count</x:v>
      </x:c>
      <x:c r="D6" s="14" t="str">
        <x:v>Low confidence/tie</x:v>
      </x:c>
      <x:c r="E6" s="14" t="str">
        <x:v>Scenario Scoring</x:v>
      </x:c>
      <x:c r="F6" s="14" t="str">
        <x:v>7 years</x:v>
      </x:c>
      <x:c r="G6" s="14" t="str">
        <x:v>Tie rates may indicate scoring refinement needed.</x:v>
      </x:c>
    </x:row>
    <x:row r="7">
      <x:c r="A7" s="14" t="str">
        <x:v>PA-008</x:v>
      </x:c>
      <x:c r="B7" s="14" t="str">
        <x:v>QC Alert Log</x:v>
      </x:c>
      <x:c r="C7" s="14" t="str">
        <x:v>alerts by severity, blockers, homework count</x:v>
      </x:c>
      <x:c r="D7" s="14" t="str">
        <x:v>Unresolved blockers &gt; 7 days</x:v>
      </x:c>
      <x:c r="E7" s="14" t="str">
        <x:v>QC / Incomplete Design</x:v>
      </x:c>
      <x:c r="F7" s="14" t="str">
        <x:v>7 years</x:v>
      </x:c>
      <x:c r="G7" s="14" t="str">
        <x:v>Operational management.</x:v>
      </x:c>
    </x:row>
    <x:row r="8">
      <x:c r="A8" s="14" t="str">
        <x:v>PA-009</x:v>
      </x:c>
      <x:c r="B8" s="14" t="str">
        <x:v>Approval Audit</x:v>
      </x:c>
      <x:c r="C8" s="14" t="str">
        <x:v>confirmations, overrides, returns</x:v>
      </x:c>
      <x:c r="D8" s="14" t="str">
        <x:v>Override without reason</x:v>
      </x:c>
      <x:c r="E8" s="14" t="str">
        <x:v>Attorney Confirmation</x:v>
      </x:c>
      <x:c r="F8" s="14" t="str">
        <x:v>Permanent/matter retention</x:v>
      </x:c>
      <x:c r="G8" s="14" t="str">
        <x:v>Layer 4 control record.</x:v>
      </x:c>
    </x:row>
    <x:row r="9">
      <x:c r="A9" s="14" t="str">
        <x:v>PA-010</x:v>
      </x:c>
      <x:c r="B9" s="14" t="str">
        <x:v>Senior Review Audit</x:v>
      </x:c>
      <x:c r="C9" s="14" t="str">
        <x:v>open flags, clearance time</x:v>
      </x:c>
      <x:c r="D9" s="14" t="str">
        <x:v>Open &gt; 5 days</x:v>
      </x:c>
      <x:c r="E9" s="14" t="str">
        <x:v>Senior Review</x:v>
      </x:c>
      <x:c r="F9" s="14" t="str">
        <x:v>Permanent/matter retention</x:v>
      </x:c>
      <x:c r="G9" s="14" t="str">
        <x:v>Escalation and workload.</x:v>
      </x:c>
    </x:row>
    <x:row r="10">
      <x:c r="A10" s="14" t="str">
        <x:v>PA-012</x:v>
      </x:c>
      <x:c r="B10" s="14" t="str">
        <x:v>Output Generation Log</x:v>
      </x:c>
      <x:c r="C10" s="14" t="str">
        <x:v>documents generated, template errors</x:v>
      </x:c>
      <x:c r="D10" s="14" t="str">
        <x:v>Any template failure</x:v>
      </x:c>
      <x:c r="E10" s="14" t="str">
        <x:v>Drafting Output</x:v>
      </x:c>
      <x:c r="F10" s="14" t="str">
        <x:v>7 years</x:v>
      </x:c>
      <x:c r="G10" s="14" t="str">
        <x:v>Proof of generated handoff.</x:v>
      </x:c>
    </x:row>
    <x:row r="11">
      <x:c r="A11" s="14" t="str">
        <x:v>PA-017</x:v>
      </x:c>
      <x:c r="B11" s="14" t="str">
        <x:v>Snapshot Log</x:v>
      </x:c>
      <x:c r="C11" s="14" t="str">
        <x:v>snapshots created, failures</x:v>
      </x:c>
      <x:c r="D11" s="14" t="str">
        <x:v>Any failure</x:v>
      </x:c>
      <x:c r="E11" s="14" t="str">
        <x:v>Version Snapshot</x:v>
      </x:c>
      <x:c r="F11" s="14" t="str">
        <x:v>Permanent/matter retention</x:v>
      </x:c>
      <x:c r="G11" s="14" t="str">
        <x:v>Blocks release if failed.</x:v>
      </x:c>
    </x:row>
    <x:row r="12">
      <x:c r="A12" s="14" t="str">
        <x:v>PA-019</x:v>
      </x:c>
      <x:c r="B12" s="14" t="str">
        <x:v>Nightly Audit Log</x:v>
      </x:c>
      <x:c r="C12" s="14" t="str">
        <x:v>matters audited, stale issues, broken refs</x:v>
      </x:c>
      <x:c r="D12" s="14" t="str">
        <x:v>Any broken mapping</x:v>
      </x:c>
      <x:c r="E12" s="14" t="str">
        <x:v>Data Quality Audit</x:v>
      </x:c>
      <x:c r="F12" s="14" t="str">
        <x:v>7 years</x:v>
      </x:c>
      <x:c r="G12" s="14" t="str">
        <x:v>Admin maintenance.</x:v>
      </x:c>
    </x:row>
  </x:sheetData>
  <x:pageMargins left="0.7" right="0.7" top="0.75" bottom="0.75" header="0.3" footer="0.3"/>
  <x:tableParts count="1">
    <x:tablePart xmlns:r="http://schemas.openxmlformats.org/officeDocument/2006/relationships" r:id="Ra3419a81e4614fa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8" hidden="0" customWidth="1"/>
    <x:col min="4" max="4" width="90" hidden="0" customWidth="1"/>
    <x:col min="5" max="5" width="40" hidden="0" customWidth="1"/>
  </x:cols>
  <x:sheetData>
    <x:row r="1" ht="30" customHeight="1">
      <x:c r="A1" s="6" t="str">
        <x:v>Payload ID</x:v>
      </x:c>
      <x:c r="B1" s="6" t="str">
        <x:v>Flow ID</x:v>
      </x:c>
      <x:c r="C1" s="6" t="str">
        <x:v>Payload Type</x:v>
      </x:c>
      <x:c r="D1" s="6" t="str">
        <x:v>Example JSON / Fields</x:v>
      </x:c>
      <x:c r="E1" s="6" t="str">
        <x:v>Notes</x:v>
      </x:c>
    </x:row>
    <x:row r="2">
      <x:c r="A2" s="14" t="str">
        <x:v>PAY-001</x:v>
      </x:c>
      <x:c r="B2" s="14" t="str">
        <x:v>PA-003</x:v>
      </x:c>
      <x:c r="C2" s="14" t="str">
        <x:v>Priority score input</x:v>
      </x:c>
      <x:c r="D2" s="14" t="str">
        <x:v>{"matter_id":"M-2026-001","selected_priorities":["C2","C8","C9"],"top_three":["C8","C9","C2"]}</x:v>
      </x:c>
      <x:c r="E2" s="14" t="str">
        <x:v>Priority selections translated into P-code scores.</x:v>
      </x:c>
    </x:row>
    <x:row r="3">
      <x:c r="A3" s="14" t="str">
        <x:v>PAY-002</x:v>
      </x:c>
      <x:c r="B3" s="14" t="str">
        <x:v>PA-004</x:v>
      </x:c>
      <x:c r="C3" s="14" t="str">
        <x:v>Routing input</x:v>
      </x:c>
      <x:c r="D3" s="14" t="str">
        <x:v>{"matter_id":"M-2026-001","family_structure":"FST-1","tax_posture":"TAX-0","mapt_requested":false,"aip_candidate":"EP-AIP.1"}</x:v>
      </x:c>
      <x:c r="E3" s="14" t="str">
        <x:v>Routing excludes invalid combinations and hard gates.</x:v>
      </x:c>
    </x:row>
    <x:row r="4">
      <x:c r="A4" s="14" t="str">
        <x:v>PAY-003</x:v>
      </x:c>
      <x:c r="B4" s="14" t="str">
        <x:v>PA-006</x:v>
      </x:c>
      <x:c r="C4" s="14" t="str">
        <x:v>Scenario recommendation output</x:v>
      </x:c>
      <x:c r="D4" s="14" t="str">
        <x:v>{"recommended_plan":"EP-LTP","recommended_scenario":"EP-LTP.SS-SNT.1","confidence":"High","top_score":18,"second_score":8}</x:v>
      </x:c>
      <x:c r="E4" s="14" t="str">
        <x:v>Recommendation only; not final.</x:v>
      </x:c>
    </x:row>
    <x:row r="5">
      <x:c r="A5" s="14" t="str">
        <x:v>PAY-004</x:v>
      </x:c>
      <x:c r="B5" s="14" t="str">
        <x:v>PA-009</x:v>
      </x:c>
      <x:c r="C5" s="14" t="str">
        <x:v>Attorney confirmation</x:v>
      </x:c>
      <x:c r="D5" s="14" t="str">
        <x:v>{"final_plan":"EP-LTP","final_scenario":"EP-LTP.SS-SNT.1","decision":"Accepted","override_reason":null,"confirmed_by":"attorney"}</x:v>
      </x:c>
      <x:c r="E5" s="14" t="str">
        <x:v>Layer 4 finalization payload.</x:v>
      </x:c>
    </x:row>
    <x:row r="6">
      <x:c r="A6" s="14" t="str">
        <x:v>PAY-005</x:v>
      </x:c>
      <x:c r="B6" s="14" t="str">
        <x:v>PA-012</x:v>
      </x:c>
      <x:c r="C6" s="14" t="str">
        <x:v>Drafting handoff merge payload</x:v>
      </x:c>
      <x:c r="D6" s="14" t="str">
        <x:v>{"matter_id":"M-2026-001","documents":["RLT","Will","DPOA","ADHC","HIPAA","Deed"],"clauses":["CL-EP-LTP-SSSNT-FUNDING-001"]}</x:v>
      </x:c>
      <x:c r="E6" s="14" t="str">
        <x:v>Must match 12O merge map.</x:v>
      </x:c>
    </x:row>
    <x:row r="7">
      <x:c r="A7" s="14" t="str">
        <x:v>PAY-006</x:v>
      </x:c>
      <x:c r="B7" s="14" t="str">
        <x:v>PA-015</x:v>
      </x:c>
      <x:c r="C7" s="14" t="str">
        <x:v>MAPT funding review input</x:v>
      </x:c>
      <x:c r="D7" s="14" t="str">
        <x:v>{"plan":"EP-APP","asset_id":"A-001","asset_type":"Residence","homestead_exemption":true,"mortgage":false,"title_review_required":true}</x:v>
      </x:c>
      <x:c r="E7" s="14" t="str">
        <x:v>Only valid under EP-APP.</x:v>
      </x:c>
    </x:row>
    <x:row r="8">
      <x:c r="A8" s="14" t="str">
        <x:v>PAY-007</x:v>
      </x:c>
      <x:c r="B8" s="14" t="str">
        <x:v>PA-017</x:v>
      </x:c>
      <x:c r="C8" s="14" t="str">
        <x:v>Version snapshot</x:v>
      </x:c>
      <x:c r="D8" s="14" t="str">
        <x:v>{"matter_id":"M-2026-001","scoring_version":"12E-v1.0","routing_version":"12D-v1.0","clause_map_version":"12F-v1.0","template_version":"12O-v1.0"}</x:v>
      </x:c>
      <x:c r="E8" s="14" t="str">
        <x:v>Immutable snapshot.</x:v>
      </x:c>
    </x:row>
  </x:sheetData>
  <x:pageMargins left="0.7" right="0.7" top="0.75" bottom="0.75" header="0.3" footer="0.3"/>
  <x:tableParts count="1">
    <x:tablePart xmlns:r="http://schemas.openxmlformats.org/officeDocument/2006/relationships" r:id="R4b727c82cf62426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34" hidden="0" customWidth="1"/>
    <x:col min="5" max="5" width="55" hidden="0" customWidth="1"/>
  </x:cols>
  <x:sheetData>
    <x:row r="1" ht="30" customHeight="1">
      <x:c r="A1" s="6" t="str">
        <x:v>Flow ID</x:v>
      </x:c>
      <x:c r="B1" s="6" t="str">
        <x:v>Depends On Artifact(s)</x:v>
      </x:c>
      <x:c r="C1" s="6" t="str">
        <x:v>Depends On Flow(s)</x:v>
      </x:c>
      <x:c r="D1" s="6" t="str">
        <x:v>Downstream Flow(s)</x:v>
      </x:c>
      <x:c r="E1" s="6" t="str">
        <x:v>Build Dependency Notes</x:v>
      </x:c>
    </x:row>
    <x:row r="2">
      <x:c r="A2" s="14" t="str">
        <x:v>PA-001</x:v>
      </x:c>
      <x:c r="B2" s="14" t="str">
        <x:v>12A, 12B, 15</x:v>
      </x:c>
      <x:c r="C2" s="14" t="str">
        <x:v>None</x:v>
      </x:c>
      <x:c r="D2" s="14" t="str">
        <x:v>PA-002, PA-018</x:v>
      </x:c>
      <x:c r="E2" s="14" t="str">
        <x:v>Matter table and library schema must exist.</x:v>
      </x:c>
    </x:row>
    <x:row r="3">
      <x:c r="A3" s="14" t="str">
        <x:v>PA-002</x:v>
      </x:c>
      <x:c r="B3" s="14" t="str">
        <x:v>12K, 12D, 12Q</x:v>
      </x:c>
      <x:c r="C3" s="14" t="str">
        <x:v>PA-001</x:v>
      </x:c>
      <x:c r="D3" s="14" t="str">
        <x:v>PA-004, PA-010</x:v>
      </x:c>
      <x:c r="E3" s="14" t="str">
        <x:v>Pre-interview fields and senior review rules required.</x:v>
      </x:c>
    </x:row>
    <x:row r="4">
      <x:c r="A4" s="14" t="str">
        <x:v>PA-003</x:v>
      </x:c>
      <x:c r="B4" s="14" t="str">
        <x:v>12B, 12C, 12E</x:v>
      </x:c>
      <x:c r="C4" s="14" t="str">
        <x:v>PA-001</x:v>
      </x:c>
      <x:c r="D4" s="14" t="str">
        <x:v>PA-006</x:v>
      </x:c>
      <x:c r="E4" s="14" t="str">
        <x:v>Priority and scoring rules required.</x:v>
      </x:c>
    </x:row>
    <x:row r="5">
      <x:c r="A5" s="14" t="str">
        <x:v>PA-004</x:v>
      </x:c>
      <x:c r="B5" s="14" t="str">
        <x:v>12D, 12E</x:v>
      </x:c>
      <x:c r="C5" s="14" t="str">
        <x:v>PA-002, PA-003</x:v>
      </x:c>
      <x:c r="D5" s="14" t="str">
        <x:v>PA-006, PA-008</x:v>
      </x:c>
      <x:c r="E5" s="14" t="str">
        <x:v>Hard gates and exclusions required.</x:v>
      </x:c>
    </x:row>
    <x:row r="6">
      <x:c r="A6" s="14" t="str">
        <x:v>PA-005</x:v>
      </x:c>
      <x:c r="B6" s="14" t="str">
        <x:v>12H, 12C</x:v>
      </x:c>
      <x:c r="C6" s="14" t="str">
        <x:v>PA-001</x:v>
      </x:c>
      <x:c r="D6" s="14" t="str">
        <x:v>PA-006, PA-008</x:v>
      </x:c>
      <x:c r="E6" s="14" t="str">
        <x:v>Module state machine required.</x:v>
      </x:c>
    </x:row>
    <x:row r="7">
      <x:c r="A7" s="14" t="str">
        <x:v>PA-006</x:v>
      </x:c>
      <x:c r="B7" s="14" t="str">
        <x:v>12C, 12D, 12E</x:v>
      </x:c>
      <x:c r="C7" s="14" t="str">
        <x:v>PA-003, PA-004, PA-005</x:v>
      </x:c>
      <x:c r="D7" s="14" t="str">
        <x:v>PA-007, PA-009</x:v>
      </x:c>
      <x:c r="E7" s="14" t="str">
        <x:v>Scenario scoring engine required.</x:v>
      </x:c>
    </x:row>
    <x:row r="8">
      <x:c r="A8" s="14" t="str">
        <x:v>PA-007</x:v>
      </x:c>
      <x:c r="B8" s="14" t="str">
        <x:v>12F, 12G</x:v>
      </x:c>
      <x:c r="C8" s="14" t="str">
        <x:v>PA-006</x:v>
      </x:c>
      <x:c r="D8" s="14" t="str">
        <x:v>PA-008, PA-016</x:v>
      </x:c>
      <x:c r="E8" s="14" t="str">
        <x:v>Clause mapping and legacy crosswalk required.</x:v>
      </x:c>
    </x:row>
    <x:row r="9">
      <x:c r="A9" s="14" t="str">
        <x:v>PA-008</x:v>
      </x:c>
      <x:c r="B9" s="14" t="str">
        <x:v>10, 12Q, 12D, 12F</x:v>
      </x:c>
      <x:c r="C9" s="14" t="str">
        <x:v>PA-004, PA-005, PA-007</x:v>
      </x:c>
      <x:c r="D9" s="14" t="str">
        <x:v>PA-009, PA-012</x:v>
      </x:c>
      <x:c r="E9" s="14" t="str">
        <x:v>QC rules and alert library required.</x:v>
      </x:c>
    </x:row>
    <x:row r="10">
      <x:c r="A10" s="14" t="str">
        <x:v>PA-009</x:v>
      </x:c>
      <x:c r="B10" s="14" t="str">
        <x:v>12L, 12M</x:v>
      </x:c>
      <x:c r="C10" s="14" t="str">
        <x:v>PA-006, PA-008</x:v>
      </x:c>
      <x:c r="D10" s="14" t="str">
        <x:v>PA-010, PA-012, PA-017</x:v>
      </x:c>
      <x:c r="E10" s="14" t="str">
        <x:v>Layer 4 workflow and permissions required.</x:v>
      </x:c>
    </x:row>
    <x:row r="11">
      <x:c r="A11" s="14" t="str">
        <x:v>PA-010</x:v>
      </x:c>
      <x:c r="B11" s="14" t="str">
        <x:v>12L, 12M, 12Q</x:v>
      </x:c>
      <x:c r="C11" s="14" t="str">
        <x:v>PA-002, PA-008, PA-009</x:v>
      </x:c>
      <x:c r="D11" s="14" t="str">
        <x:v>PA-012</x:v>
      </x:c>
      <x:c r="E11" s="14" t="str">
        <x:v>Senior review workflow required.</x:v>
      </x:c>
    </x:row>
    <x:row r="12">
      <x:c r="A12" s="14" t="str">
        <x:v>PA-011</x:v>
      </x:c>
      <x:c r="B12" s="14" t="str">
        <x:v>12O, 12N</x:v>
      </x:c>
      <x:c r="C12" s="14" t="str">
        <x:v>PA-006, PA-008, PA-009</x:v>
      </x:c>
      <x:c r="D12" s="14" t="str">
        <x:v>None</x:v>
      </x:c>
      <x:c r="E12" s="14" t="str">
        <x:v>Merge fields and template library required.</x:v>
      </x:c>
    </x:row>
    <x:row r="13">
      <x:c r="A13" s="14" t="str">
        <x:v>PA-012</x:v>
      </x:c>
      <x:c r="B13" s="14" t="str">
        <x:v>09, 12O, 12L</x:v>
      </x:c>
      <x:c r="C13" s="14" t="str">
        <x:v>PA-009, PA-010, PA-017</x:v>
      </x:c>
      <x:c r="D13" s="14" t="str">
        <x:v>PA-018</x:v>
      </x:c>
      <x:c r="E13" s="14" t="str">
        <x:v>Drafting-ready status and merge map required.</x:v>
      </x:c>
    </x:row>
    <x:row r="14">
      <x:c r="A14" s="14" t="str">
        <x:v>PA-014</x:v>
      </x:c>
      <x:c r="B14" s="14" t="str">
        <x:v>12J, 12Q</x:v>
      </x:c>
      <x:c r="C14" s="14" t="str">
        <x:v>PA-008</x:v>
      </x:c>
      <x:c r="D14" s="14" t="str">
        <x:v>PA-013, PA-012</x:v>
      </x:c>
      <x:c r="E14" s="14" t="str">
        <x:v>Beneficiary designation module required.</x:v>
      </x:c>
    </x:row>
    <x:row r="15">
      <x:c r="A15" s="14" t="str">
        <x:v>PA-015</x:v>
      </x:c>
      <x:c r="B15" s="14" t="str">
        <x:v>12I, 12D, 12Q</x:v>
      </x:c>
      <x:c r="C15" s="14" t="str">
        <x:v>PA-004, PA-008</x:v>
      </x:c>
      <x:c r="D15" s="14" t="str">
        <x:v>PA-013, PA-012</x:v>
      </x:c>
      <x:c r="E15" s="14" t="str">
        <x:v>MAPT only under EP-APP.</x:v>
      </x:c>
    </x:row>
    <x:row r="16">
      <x:c r="A16" s="14" t="str">
        <x:v>PA-016</x:v>
      </x:c>
      <x:c r="B16" s="14" t="str">
        <x:v>12F, 12G, 12M</x:v>
      </x:c>
      <x:c r="C16" s="14" t="str">
        <x:v>PA-007</x:v>
      </x:c>
      <x:c r="D16" s="14" t="str">
        <x:v>PA-012</x:v>
      </x:c>
      <x:c r="E16" s="14" t="str">
        <x:v>Clause placeholder review required.</x:v>
      </x:c>
    </x:row>
    <x:row r="17">
      <x:c r="A17" s="14" t="str">
        <x:v>PA-017</x:v>
      </x:c>
      <x:c r="B17" s="14" t="str">
        <x:v>12S, 12L</x:v>
      </x:c>
      <x:c r="C17" s="14" t="str">
        <x:v>PA-009</x:v>
      </x:c>
      <x:c r="D17" s="14" t="str">
        <x:v>PA-012</x:v>
      </x:c>
      <x:c r="E17" s="14" t="str">
        <x:v>Version snapshot required before release.</x:v>
      </x:c>
    </x:row>
    <x:row r="18">
      <x:c r="A18" s="14" t="str">
        <x:v>PA-018</x:v>
      </x:c>
      <x:c r="B18" s="14" t="str">
        <x:v>12M, 12R</x:v>
      </x:c>
      <x:c r="C18" s="14" t="str">
        <x:v>Multiple</x:v>
      </x:c>
      <x:c r="D18" s="14" t="str">
        <x:v>None</x:v>
      </x:c>
      <x:c r="E18" s="14" t="str">
        <x:v>Teams/Outlook implementation decision needed.</x:v>
      </x:c>
    </x:row>
    <x:row r="19">
      <x:c r="A19" s="14" t="str">
        <x:v>PA-019</x:v>
      </x:c>
      <x:c r="B19" s="14" t="str">
        <x:v>12Q, 15</x:v>
      </x:c>
      <x:c r="C19" s="14" t="str">
        <x:v>All data flows</x:v>
      </x:c>
      <x:c r="D19" s="14" t="str">
        <x:v>Admin tasks</x:v>
      </x:c>
      <x:c r="E19" s="14" t="str">
        <x:v>Monitoring tables and alerts needed.</x:v>
      </x:c>
    </x:row>
    <x:row r="20">
      <x:c r="A20" s="14" t="str">
        <x:v>PA-020</x:v>
      </x:c>
      <x:c r="B20" s="14" t="str">
        <x:v>13, 14, 15, 12S</x:v>
      </x:c>
      <x:c r="C20" s="14" t="str">
        <x:v>None</x:v>
      </x:c>
      <x:c r="D20" s="14" t="str">
        <x:v>None</x:v>
      </x:c>
      <x:c r="E20" s="14" t="str">
        <x:v>Backup/export details require implementation decision.</x:v>
      </x:c>
    </x:row>
  </x:sheetData>
  <x:pageMargins left="0.7" right="0.7" top="0.75" bottom="0.75" header="0.3" footer="0.3"/>
  <x:tableParts count="1">
    <x:tablePart xmlns:r="http://schemas.openxmlformats.org/officeDocument/2006/relationships" r:id="Rd63a573e86ca42d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45" hidden="0" customWidth="1"/>
    <x:col min="4" max="4" width="55" hidden="0" customWidth="1"/>
    <x:col min="5" max="5" width="45" hidden="0" customWidth="1"/>
    <x:col min="6" max="6" width="12" hidden="0" customWidth="1"/>
  </x:cols>
  <x:sheetData>
    <x:row r="1" ht="30" customHeight="1">
      <x:c r="A1" s="6" t="str">
        <x:v>Acceptance ID</x:v>
      </x:c>
      <x:c r="B1" s="6" t="str">
        <x:v>Flow ID</x:v>
      </x:c>
      <x:c r="C1" s="6" t="str">
        <x:v>Test Case / Scenario</x:v>
      </x:c>
      <x:c r="D1" s="6" t="str">
        <x:v>Expected Result</x:v>
      </x:c>
      <x:c r="E1" s="6" t="str">
        <x:v>Evidence Required</x:v>
      </x:c>
      <x:c r="F1" s="6" t="str">
        <x:v>Pass/Fail</x:v>
      </x:c>
    </x:row>
    <x:row r="2">
      <x:c r="A2" s="14" t="str">
        <x:v>AC-001</x:v>
      </x:c>
      <x:c r="B2" s="14" t="str">
        <x:v>PA-004</x:v>
      </x:c>
      <x:c r="C2" s="14" t="str">
        <x:v>Matter has MAPT requested and EP-AIP candidate selected</x:v>
      </x:c>
      <x:c r="D2" s="14" t="str">
        <x:v>Flow excludes EP-AIP and routes to EP-APP / conflict alert</x:v>
      </x:c>
      <x:c r="E2" s="14" t="str">
        <x:v>Routing log with rule ID and alert</x:v>
      </x:c>
      <x:c r="F2" s="14" t="str"/>
    </x:row>
    <x:row r="3">
      <x:c r="A3" s="14" t="str">
        <x:v>AC-002</x:v>
      </x:c>
      <x:c r="B3" s="14" t="str">
        <x:v>PA-006</x:v>
      </x:c>
      <x:c r="C3" s="14" t="str">
        <x:v>Forced SS-SNT scoring sample from 12P</x:v>
      </x:c>
      <x:c r="D3" s="14" t="str">
        <x:v>Scenario EP-LTP.SS-SNT.1 recommended with expected confidence</x:v>
      </x:c>
      <x:c r="E3" s="14" t="str">
        <x:v>Score run log and scenario recommendation row</x:v>
      </x:c>
      <x:c r="F3" s="14" t="str"/>
    </x:row>
    <x:row r="4">
      <x:c r="A4" s="14" t="str">
        <x:v>AC-003</x:v>
      </x:c>
      <x:c r="B4" s="14" t="str">
        <x:v>PA-009</x:v>
      </x:c>
      <x:c r="C4" s="14" t="str">
        <x:v>Attorney modifies recommendation</x:v>
      </x:c>
      <x:c r="D4" s="14" t="str">
        <x:v>Final selection saved; override reason required; original recommendation retained</x:v>
      </x:c>
      <x:c r="E4" s="14" t="str">
        <x:v>Attorney confirmation row and audit log</x:v>
      </x:c>
      <x:c r="F4" s="14" t="str"/>
    </x:row>
    <x:row r="5">
      <x:c r="A5" s="14" t="str">
        <x:v>AC-004</x:v>
      </x:c>
      <x:c r="B5" s="14" t="str">
        <x:v>PA-012</x:v>
      </x:c>
      <x:c r="C5" s="14" t="str">
        <x:v>Drafting handoff requested before confirmation</x:v>
      </x:c>
      <x:c r="D5" s="14" t="str">
        <x:v>Flow stops and displays blocker message</x:v>
      </x:c>
      <x:c r="E5" s="14" t="str">
        <x:v>Failed run with controlled message or blocked action log</x:v>
      </x:c>
      <x:c r="F5" s="14" t="str"/>
    </x:row>
    <x:row r="6">
      <x:c r="A6" s="14" t="str">
        <x:v>AC-005</x:v>
      </x:c>
      <x:c r="B6" s="14" t="str">
        <x:v>PA-015</x:v>
      </x:c>
      <x:c r="C6" s="14" t="str">
        <x:v>EP-AIP matter attempts MAPT funding flow</x:v>
      </x:c>
      <x:c r="D6" s="14" t="str">
        <x:v>Flow rejects and creates conflict alert</x:v>
      </x:c>
      <x:c r="E6" s="14" t="str">
        <x:v>Conflict alert record</x:v>
      </x:c>
      <x:c r="F6" s="14" t="str"/>
    </x:row>
    <x:row r="7">
      <x:c r="A7" s="14" t="str">
        <x:v>AC-006</x:v>
      </x:c>
      <x:c r="B7" s="14" t="str">
        <x:v>PA-007</x:v>
      </x:c>
      <x:c r="C7" s="14" t="str">
        <x:v>Clause trigger maps only to legacy placeholder</x:v>
      </x:c>
      <x:c r="D7" s="14" t="str">
        <x:v>Clause review task created; clause not marked approved</x:v>
      </x:c>
      <x:c r="E7" s="14" t="str">
        <x:v>Clause trigger and review task</x:v>
      </x:c>
      <x:c r="F7" s="14" t="str"/>
    </x:row>
    <x:row r="8">
      <x:c r="A8" s="14" t="str">
        <x:v>AC-007</x:v>
      </x:c>
      <x:c r="B8" s="14" t="str">
        <x:v>PA-014</x:v>
      </x:c>
      <x:c r="C8" s="14" t="str">
        <x:v>Retirement account beneficiary conflicts with trust plan</x:v>
      </x:c>
      <x:c r="D8" s="14" t="str">
        <x:v>Beneficiary designation review alert and homework generated</x:v>
      </x:c>
      <x:c r="E8" s="14" t="str">
        <x:v>Alert and homework rows</x:v>
      </x:c>
      <x:c r="F8" s="14" t="str"/>
    </x:row>
    <x:row r="9">
      <x:c r="A9" s="14" t="str">
        <x:v>AC-008</x:v>
      </x:c>
      <x:c r="B9" s="14" t="str">
        <x:v>PA-010</x:v>
      </x:c>
      <x:c r="C9" s="14" t="str">
        <x:v>TAX-3 matter enters attorney confirmation</x:v>
      </x:c>
      <x:c r="D9" s="14" t="str">
        <x:v>Senior review flag blocks drafting-ready until cleared</x:v>
      </x:c>
      <x:c r="E9" s="14" t="str">
        <x:v>Senior review record and matter status</x:v>
      </x:c>
      <x:c r="F9" s="14" t="str"/>
    </x:row>
    <x:row r="10">
      <x:c r="A10" s="14" t="str">
        <x:v>AC-009</x:v>
      </x:c>
      <x:c r="B10" s="14" t="str">
        <x:v>PA-017</x:v>
      </x:c>
      <x:c r="C10" s="14" t="str">
        <x:v>Attorney confirmation finalized</x:v>
      </x:c>
      <x:c r="D10" s="14" t="str">
        <x:v>Version snapshot created before drafting handoff release</x:v>
      </x:c>
      <x:c r="E10" s="14" t="str">
        <x:v>Snapshot record with version IDs</x:v>
      </x:c>
      <x:c r="F10" s="14" t="str"/>
    </x:row>
    <x:row r="11">
      <x:c r="A11" s="14" t="str">
        <x:v>AC-010</x:v>
      </x:c>
      <x:c r="B11" s="14" t="str">
        <x:v>PA-019</x:v>
      </x:c>
      <x:c r="C11" s="14" t="str">
        <x:v>Nightly audit finds stale blocker</x:v>
      </x:c>
      <x:c r="D11" s="14" t="str">
        <x:v>Admin report lists matter and unresolved blocker</x:v>
      </x:c>
      <x:c r="E11" s="14" t="str">
        <x:v>Audit report output</x:v>
      </x:c>
      <x:c r="F11" s="14" t="str"/>
    </x:row>
  </x:sheetData>
  <x:pageMargins left="0.7" right="0.7" top="0.75" bottom="0.75" header="0.3" footer="0.3"/>
  <x:tableParts count="1">
    <x:tablePart xmlns:r="http://schemas.openxmlformats.org/officeDocument/2006/relationships" r:id="R3c9979dd74ad4fd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70" hidden="0" customWidth="1"/>
    <x:col min="5" max="5" width="24" hidden="0" customWidth="1"/>
    <x:col min="6" max="6" width="24" hidden="0" customWidth="1"/>
    <x:col min="7" max="7" width="40" hidden="0" customWidth="1"/>
  </x:cols>
  <x:sheetData>
    <x:row r="1" ht="30" customHeight="1">
      <x:c r="A1" s="6" t="str">
        <x:v>Version</x:v>
      </x:c>
      <x:c r="B1" s="6" t="str">
        <x:v>Date</x:v>
      </x:c>
      <x:c r="C1" s="6" t="str">
        <x:v>Change Type</x:v>
      </x:c>
      <x:c r="D1" s="6" t="str">
        <x:v>Description</x:v>
      </x:c>
      <x:c r="E1" s="6" t="str">
        <x:v>Requested By</x:v>
      </x:c>
      <x:c r="F1" s="6" t="str">
        <x:v>Approved By</x:v>
      </x:c>
      <x:c r="G1" s="6" t="str">
        <x:v>Impact</x:v>
      </x:c>
    </x:row>
    <x:row r="2">
      <x:c r="A2" s="14" t="str">
        <x:v>v1.0</x:v>
      </x:c>
      <x:c r="B2" s="14" t="str">
        <x:v>2026-05-05</x:v>
      </x:c>
      <x:c r="C2" s="14" t="str">
        <x:v>Initial</x:v>
      </x:c>
      <x:c r="D2" s="14" t="str">
        <x:v>Initial Power Automate Flow Specification for EP Design Sheet app build.</x:v>
      </x:c>
      <x:c r="E2" s="14" t="str">
        <x:v>Project Team</x:v>
      </x:c>
      <x:c r="F2" s="14" t="str">
        <x:v>Pending</x:v>
      </x:c>
      <x:c r="G2" s="14" t="str">
        <x:v>Engineering build package.</x:v>
      </x:c>
    </x:row>
  </x:sheetData>
  <x:pageMargins left="0.7" right="0.7" top="0.75" bottom="0.75" header="0.3" footer="0.3"/>
  <x:tableParts count="1">
    <x:tablePart xmlns:r="http://schemas.openxmlformats.org/officeDocument/2006/relationships" r:id="Rb0c0041d2cf2437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</x:cols>
  <x:sheetData>
    <x:row r="1" ht="30" customHeight="1">
      <x:c r="A1" s="16" t="str">
        <x:v>Metric</x:v>
      </x:c>
      <x:c r="B1" s="16" t="str">
        <x:v>Formula / Value</x:v>
      </x:c>
    </x:row>
    <x:row r="2">
      <x:c r="A2" s="19" t="str">
        <x:v>Total Flows</x:v>
      </x:c>
      <x:c r="B2" s="22" t="n">
        <x:f>COUNTA('Flow Catalog'!A2:A100)</x:f>
        <x:v>20</x:v>
      </x:c>
    </x:row>
    <x:row r="3">
      <x:c r="A3" s="19" t="str">
        <x:v>Build Required Flows</x:v>
      </x:c>
      <x:c r="B3" s="22" t="n">
        <x:f>COUNTIF('Flow Catalog'!J2:J100,"Build Required")</x:f>
        <x:v>17</x:v>
      </x:c>
    </x:row>
    <x:row r="4">
      <x:c r="A4" s="19" t="str">
        <x:v>Build Optional Flows</x:v>
      </x:c>
      <x:c r="B4" s="22" t="n">
        <x:f>COUNTIF('Flow Catalog'!J2:J100,"Build Optional")</x:f>
        <x:v>3</x:v>
      </x:c>
    </x:row>
    <x:row r="5">
      <x:c r="A5" s="19" t="str">
        <x:v>High Priority Flows</x:v>
      </x:c>
      <x:c r="B5" s="22" t="n">
        <x:f>COUNTIF('Flow Catalog'!I2:I100,"High")</x:f>
        <x:v>14</x:v>
      </x:c>
    </x:row>
    <x:row r="6">
      <x:c r="A6" s="19" t="str">
        <x:v>Approval Flows</x:v>
      </x:c>
      <x:c r="B6" s="22" t="n">
        <x:f>COUNTIF('Flow Catalog'!H2:H100,"Approval")</x:f>
        <x:v>2</x:v>
      </x:c>
    </x:row>
    <x:row r="7">
      <x:c r="A7" s="19" t="str">
        <x:v>Scheduled Flows</x:v>
      </x:c>
      <x:c r="B7" s="22" t="n">
        <x:f>COUNTIF('Flow Catalog'!H2:H100,"Scheduled")</x:f>
        <x:v>2</x:v>
      </x:c>
    </x:row>
    <x:row r="8">
      <x:c r="A8" s="19" t="str">
        <x:v>Flows with Legal Safety Constraint</x:v>
      </x:c>
      <x:c r="B8" s="22" t="n">
        <x:f>COUNTA('Flow Catalog'!K2:K100)</x:f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04e798a2c0c3484e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Props1.xml><?xml version="1.0" encoding="utf-8"?>
<ds:datastoreItem xmlns:ds="http://schemas.openxmlformats.org/officeDocument/2006/customXml" ds:itemID="{F41E1733-CF05-4822-A350-F28F9E03456A}"/>
</file>

<file path=customXml/itemProps2.xml><?xml version="1.0" encoding="utf-8"?>
<ds:datastoreItem xmlns:ds="http://schemas.openxmlformats.org/officeDocument/2006/customXml" ds:itemID="{D611E176-0423-4E81-A5A0-459DB66715DD}"/>
</file>

<file path=customXml/itemProps3.xml><?xml version="1.0" encoding="utf-8"?>
<ds:datastoreItem xmlns:ds="http://schemas.openxmlformats.org/officeDocument/2006/customXml" ds:itemID="{206DB6C9-37AB-4628-B899-49760C89901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</Properties>
</file>