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e526b259a25d4966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ption Lists" sheetId="1" r:id="Re646cdd79b444cf7"/>
    <x:sheet xmlns:r="http://schemas.openxmlformats.org/officeDocument/2006/relationships" name="Routing Rules" sheetId="2" r:id="Rc24a7ee3c0c2465a"/>
    <x:sheet xmlns:r="http://schemas.openxmlformats.org/officeDocument/2006/relationships" name="Rule Conditions" sheetId="3" r:id="R229b6ea17928479b"/>
    <x:sheet xmlns:r="http://schemas.openxmlformats.org/officeDocument/2006/relationships" name="Rule Actions" sheetId="4" r:id="Rc64e8d4e376e4afd"/>
    <x:sheet xmlns:r="http://schemas.openxmlformats.org/officeDocument/2006/relationships" name="Senior Review Flags" sheetId="5" r:id="R23de21c2372a4937"/>
    <x:sheet xmlns:r="http://schemas.openxmlformats.org/officeDocument/2006/relationships" name="Conflict Rules" sheetId="6" r:id="R1d09ea03352042bc"/>
    <x:sheet xmlns:r="http://schemas.openxmlformats.org/officeDocument/2006/relationships" name="Rule Evaluation Samples" sheetId="7" r:id="R800019b53ebe4418"/>
    <x:sheet xmlns:r="http://schemas.openxmlformats.org/officeDocument/2006/relationships" name="README" sheetId="8" r:id="R9b5f58158c19400f"/>
    <x:sheet xmlns:r="http://schemas.openxmlformats.org/officeDocument/2006/relationships" name="Change Control" sheetId="9" r:id="R4d3e030f05a747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4"/>
      <x:color rgb="17365D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  <x:fill>
      <x:patternFill patternType="solid">
        <x:fgColor rgb="5B9BD5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4">
    <x:dxf>
      <x:fill>
        <x:patternFill patternType="solid">
          <x:bgColor rgb="F8CBAD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4CCCC"/>
        </x:patternFill>
      </x:fill>
    </x:dxf>
  </x:dxfs>
</x:styleSheet>
</file>

<file path=xl/_rels/workbook.xml.rels><?xml version="1.0" encoding="UTF-8" standalone="yes"?>
<Relationships xmlns="http://schemas.openxmlformats.org/package/2006/relationships"><Relationship Id="R9b5f58158c19400f" Type="http://schemas.openxmlformats.org/officeDocument/2006/relationships/worksheet" Target="/xl/worksheets/sheet8.xml"/><Relationship Id="Rc24a7ee3c0c2465a" Type="http://schemas.openxmlformats.org/officeDocument/2006/relationships/worksheet" Target="/xl/worksheets/sheet2.xml"/><Relationship Id="R4d3e030f05a74798" Type="http://schemas.openxmlformats.org/officeDocument/2006/relationships/worksheet" Target="/xl/worksheets/sheet9.xml"/><Relationship Id="rId3" Type="http://schemas.openxmlformats.org/officeDocument/2006/relationships/customXml" Target="../customXml/item3.xml"/><Relationship Id="Re646cdd79b444cf7" Type="http://schemas.openxmlformats.org/officeDocument/2006/relationships/worksheet" Target="/xl/worksheets/sheet1.xml"/><Relationship Id="Rc64e8d4e376e4afd" Type="http://schemas.openxmlformats.org/officeDocument/2006/relationships/worksheet" Target="/xl/worksheets/sheet4.xml"/><Relationship Id="R1d09ea03352042bc" Type="http://schemas.openxmlformats.org/officeDocument/2006/relationships/worksheet" Target="/xl/worksheets/sheet6.xml"/><Relationship Id="rId2" Type="http://schemas.openxmlformats.org/officeDocument/2006/relationships/customXml" Target="../customXml/item2.xml"/><Relationship Id="Rd5c71d9be7f34dd6" Type="http://schemas.openxmlformats.org/officeDocument/2006/relationships/styles" Target="/xl/styles.xml"/><Relationship Id="R229b6ea17928479b" Type="http://schemas.openxmlformats.org/officeDocument/2006/relationships/worksheet" Target="/xl/worksheets/sheet3.xml"/><Relationship Id="R800019b53ebe4418" Type="http://schemas.openxmlformats.org/officeDocument/2006/relationships/worksheet" Target="/xl/worksheets/sheet7.xml"/><Relationship Id="rId1" Type="http://schemas.openxmlformats.org/officeDocument/2006/relationships/customXml" Target="../customXml/item1.xml"/><Relationship Id="R613e3b9993284071" Type="http://schemas.openxmlformats.org/officeDocument/2006/relationships/theme" Target="/xl/theme/theme1.xml"/><Relationship Id="Rec970f95c5684edb" Type="http://schemas.openxmlformats.org/officeDocument/2006/relationships/sharedStrings" Target="/xl/sharedStrings.xml"/><Relationship Id="R23de21c2372a4937" Type="http://schemas.openxmlformats.org/officeDocument/2006/relationships/worksheet" Target="/xl/worksheets/sheet5.xml"/></Relationships>
</file>

<file path=xl/tables/table1.xml><?xml version="1.0" encoding="utf-8"?>
<x:table xmlns:x="http://schemas.openxmlformats.org/spreadsheetml/2006/main" id="1" name="RoutingRulesTable" displayName="RoutingRulesTable" ref="A4:M72" headerRowCount="1">
  <x:tableColumns count="13">
    <x:tableColumn id="1" name="Rule ID"/>
    <x:tableColumn id="2" name="Layer"/>
    <x:tableColumn id="3" name="Rule Type"/>
    <x:tableColumn id="4" name="Priority"/>
    <x:tableColumn id="5" name="Status"/>
    <x:tableColumn id="6" name="Condition Summary"/>
    <x:tableColumn id="7" name="Action Summary"/>
    <x:tableColumn id="8" name="Plan Output"/>
    <x:tableColumn id="9" name="Scenario Output"/>
    <x:tableColumn id="10" name="Interview Track"/>
    <x:tableColumn id="11" name="Senior Review Flag"/>
    <x:tableColumn id="12" name="Exclusion / Conflict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RuleConditionsTable" displayName="RuleConditionsTable" ref="A1:G41" headerRowCount="1">
  <x:tableColumns count="7">
    <x:tableColumn id="1" name="Rule ID"/>
    <x:tableColumn id="2" name="Condition Group"/>
    <x:tableColumn id="3" name="Field / Fact"/>
    <x:tableColumn id="4" name="Operator"/>
    <x:tableColumn id="5" name="Value / Threshold"/>
    <x:tableColumn id="6" name="Connector"/>
    <x:tableColumn id="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RuleActionsTable" displayName="RuleActionsTable" ref="A1:H18" headerRowCount="1">
  <x:tableColumns count="8">
    <x:tableColumn id="1" name="Rule ID"/>
    <x:tableColumn id="2" name="Action Type"/>
    <x:tableColumn id="3" name="Target Field"/>
    <x:tableColumn id="4" name="Action Value"/>
    <x:tableColumn id="5" name="Required Follow-Up"/>
    <x:tableColumn id="6" name="Blocks Drafting?"/>
    <x:tableColumn id="7" name="Attorney Override Allowed?"/>
    <x:tableColumn id="8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SeniorReviewFlagsTable" displayName="SeniorReviewFlagsTable" ref="A1:H13" headerRowCount="1">
  <x:tableColumns count="8">
    <x:tableColumn id="1" name="Flag Code"/>
    <x:tableColumn id="2" name="Trigger"/>
    <x:tableColumn id="3" name="Source Rules"/>
    <x:tableColumn id="4" name="Severity"/>
    <x:tableColumn id="5" name="Blocking?"/>
    <x:tableColumn id="6" name="Required Reviewer"/>
    <x:tableColumn id="7" name="Clearance Evidence"/>
    <x:tableColumn id="8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ConflictRulesTable" displayName="ConflictRulesTable" ref="A1:G10" headerRowCount="1">
  <x:tableColumns count="7">
    <x:tableColumn id="1" name="Conflict ID"/>
    <x:tableColumn id="2" name="Conflict Condition"/>
    <x:tableColumn id="3" name="Correct Rule"/>
    <x:tableColumn id="4" name="System Response"/>
    <x:tableColumn id="5" name="Blocking?"/>
    <x:tableColumn id="6" name="Resolution Owner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RuleEvaluationSamplesTable" displayName="RuleEvaluationSamplesTable" ref="A1:J11" headerRowCount="1">
  <x:tableColumns count="10">
    <x:tableColumn id="1" name="Sample ID"/>
    <x:tableColumn id="2" name="Matter Profile"/>
    <x:tableColumn id="3" name="Key Inputs"/>
    <x:tableColumn id="4" name="Triggered Rule IDs"/>
    <x:tableColumn id="5" name="Expected Plan"/>
    <x:tableColumn id="6" name="Expected Scenario"/>
    <x:tableColumn id="7" name="Expected Track"/>
    <x:tableColumn id="8" name="Expected Flags"/>
    <x:tableColumn id="9" name="Expected Status"/>
    <x:tableColumn id="10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a0050225c54f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a29f3b205cf47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2208b9f92b146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73c36350c94d5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82028d00e242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86845ad00ac4b0a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55" hidden="0" customWidth="1"/>
  </x:cols>
  <x:sheetData>
    <x:row r="1">
      <x:c r="A1" s="6" t="str">
        <x:v>Option Set</x:v>
      </x:c>
      <x:c r="B1" s="6" t="str">
        <x:v>Value</x:v>
      </x:c>
      <x:c r="C1" s="6" t="str">
        <x:v>Notes</x:v>
      </x:c>
    </x:row>
    <x:row r="2">
      <x:c r="A2" t="str">
        <x:v>Layer</x:v>
      </x:c>
      <x:c r="B2" t="str">
        <x:v>Layer 1 - Intake/Routing</x:v>
      </x:c>
      <x:c r="C2" t="str">
        <x:v>Controlled value for routing-rule validation.</x:v>
      </x:c>
    </x:row>
    <x:row r="3">
      <x:c r="A3" t="str">
        <x:v>Layer</x:v>
      </x:c>
      <x:c r="B3" t="str">
        <x:v>Layer 2 - Priority/Scenario</x:v>
      </x:c>
      <x:c r="C3" t="str">
        <x:v>Controlled value for routing-rule validation.</x:v>
      </x:c>
    </x:row>
    <x:row r="4">
      <x:c r="A4" t="str">
        <x:v>Layer</x:v>
      </x:c>
      <x:c r="B4" t="str">
        <x:v>Layer 3 - Clause/Drafting</x:v>
      </x:c>
      <x:c r="C4" t="str">
        <x:v>Controlled value for routing-rule validation.</x:v>
      </x:c>
    </x:row>
    <x:row r="5">
      <x:c r="A5" t="str">
        <x:v>Layer</x:v>
      </x:c>
      <x:c r="B5" t="str">
        <x:v>Layer 4 - Attorney Confirmation</x:v>
      </x:c>
      <x:c r="C5" t="str">
        <x:v>Controlled value for routing-rule validation.</x:v>
      </x:c>
    </x:row>
    <x:row r="6">
      <x:c r="A6" t="str">
        <x:v>Rule Type</x:v>
      </x:c>
      <x:c r="B6" t="str">
        <x:v>Hard Gate</x:v>
      </x:c>
      <x:c r="C6" t="str">
        <x:v>Controlled value for routing-rule validation.</x:v>
      </x:c>
    </x:row>
    <x:row r="7">
      <x:c r="A7" t="str">
        <x:v>Rule Type</x:v>
      </x:c>
      <x:c r="B7" t="str">
        <x:v>Routing</x:v>
      </x:c>
      <x:c r="C7" t="str">
        <x:v>Controlled value for routing-rule validation.</x:v>
      </x:c>
    </x:row>
    <x:row r="8">
      <x:c r="A8" t="str">
        <x:v>Rule Type</x:v>
      </x:c>
      <x:c r="B8" t="str">
        <x:v>Scoring</x:v>
      </x:c>
      <x:c r="C8" t="str">
        <x:v>Controlled value for routing-rule validation.</x:v>
      </x:c>
    </x:row>
    <x:row r="9">
      <x:c r="A9" t="str">
        <x:v>Rule Type</x:v>
      </x:c>
      <x:c r="B9" t="str">
        <x:v>Exclusion</x:v>
      </x:c>
      <x:c r="C9" t="str">
        <x:v>Controlled value for routing-rule validation.</x:v>
      </x:c>
    </x:row>
    <x:row r="10">
      <x:c r="A10" t="str">
        <x:v>Rule Type</x:v>
      </x:c>
      <x:c r="B10" t="str">
        <x:v>Conflict</x:v>
      </x:c>
      <x:c r="C10" t="str">
        <x:v>Controlled value for routing-rule validation.</x:v>
      </x:c>
    </x:row>
    <x:row r="11">
      <x:c r="A11" t="str">
        <x:v>Rule Type</x:v>
      </x:c>
      <x:c r="B11" t="str">
        <x:v>Senior Review</x:v>
      </x:c>
      <x:c r="C11" t="str">
        <x:v>Controlled value for routing-rule validation.</x:v>
      </x:c>
    </x:row>
    <x:row r="12">
      <x:c r="A12" t="str">
        <x:v>Rule Type</x:v>
      </x:c>
      <x:c r="B12" t="str">
        <x:v>Skip Logic</x:v>
      </x:c>
      <x:c r="C12" t="str">
        <x:v>Controlled value for routing-rule validation.</x:v>
      </x:c>
    </x:row>
    <x:row r="13">
      <x:c r="A13" t="str">
        <x:v>Rule Type</x:v>
      </x:c>
      <x:c r="B13" t="str">
        <x:v>QC</x:v>
      </x:c>
      <x:c r="C13" t="str">
        <x:v>Controlled value for routing-rule validation.</x:v>
      </x:c>
    </x:row>
    <x:row r="14">
      <x:c r="A14" t="str">
        <x:v>Rule Type</x:v>
      </x:c>
      <x:c r="B14" t="str">
        <x:v>Clause Trigger</x:v>
      </x:c>
      <x:c r="C14" t="str">
        <x:v>Controlled value for routing-rule validation.</x:v>
      </x:c>
    </x:row>
    <x:row r="15">
      <x:c r="A15" t="str">
        <x:v>Status</x:v>
      </x:c>
      <x:c r="B15" t="str">
        <x:v>Active</x:v>
      </x:c>
      <x:c r="C15" t="str">
        <x:v>Controlled value for routing-rule validation.</x:v>
      </x:c>
    </x:row>
    <x:row r="16">
      <x:c r="A16" t="str">
        <x:v>Status</x:v>
      </x:c>
      <x:c r="B16" t="str">
        <x:v>Draft</x:v>
      </x:c>
      <x:c r="C16" t="str">
        <x:v>Controlled value for routing-rule validation.</x:v>
      </x:c>
    </x:row>
    <x:row r="17">
      <x:c r="A17" t="str">
        <x:v>Status</x:v>
      </x:c>
      <x:c r="B17" t="str">
        <x:v>Needs Review</x:v>
      </x:c>
      <x:c r="C17" t="str">
        <x:v>Controlled value for routing-rule validation.</x:v>
      </x:c>
    </x:row>
    <x:row r="18">
      <x:c r="A18" t="str">
        <x:v>Status</x:v>
      </x:c>
      <x:c r="B18" t="str">
        <x:v>Deprecated</x:v>
      </x:c>
      <x:c r="C18" t="str">
        <x:v>Controlled value for routing-rule validation.</x:v>
      </x:c>
    </x:row>
    <x:row r="19">
      <x:c r="A19" t="str">
        <x:v>Priority</x:v>
      </x:c>
      <x:c r="B19" t="str">
        <x:v>Critical</x:v>
      </x:c>
      <x:c r="C19" t="str">
        <x:v>Controlled value for routing-rule validation.</x:v>
      </x:c>
    </x:row>
    <x:row r="20">
      <x:c r="A20" t="str">
        <x:v>Priority</x:v>
      </x:c>
      <x:c r="B20" t="str">
        <x:v>High</x:v>
      </x:c>
      <x:c r="C20" t="str">
        <x:v>Controlled value for routing-rule validation.</x:v>
      </x:c>
    </x:row>
    <x:row r="21">
      <x:c r="A21" t="str">
        <x:v>Priority</x:v>
      </x:c>
      <x:c r="B21" t="str">
        <x:v>Medium</x:v>
      </x:c>
      <x:c r="C21" t="str">
        <x:v>Controlled value for routing-rule validation.</x:v>
      </x:c>
    </x:row>
    <x:row r="22">
      <x:c r="A22" t="str">
        <x:v>Priority</x:v>
      </x:c>
      <x:c r="B22" t="str">
        <x:v>Low</x:v>
      </x:c>
      <x:c r="C22" t="str">
        <x:v>Controlled value for routing-rule validation.</x:v>
      </x:c>
    </x:row>
    <x:row r="23">
      <x:c r="A23" t="str">
        <x:v>YesNo</x:v>
      </x:c>
      <x:c r="B23" t="str">
        <x:v>Yes</x:v>
      </x:c>
      <x:c r="C23" t="str">
        <x:v>Controlled value for routing-rule validation.</x:v>
      </x:c>
    </x:row>
    <x:row r="24">
      <x:c r="A24" t="str">
        <x:v>YesNo</x:v>
      </x:c>
      <x:c r="B24" t="str">
        <x:v>No</x:v>
      </x:c>
      <x:c r="C24" t="str">
        <x:v>Controlled value for routing-rule validation.</x:v>
      </x:c>
    </x:row>
    <x:row r="25">
      <x:c r="A25" t="str">
        <x:v>YesNo</x:v>
      </x:c>
      <x:c r="B25" t="str">
        <x:v>Conditional</x:v>
      </x:c>
      <x:c r="C25" t="str">
        <x:v>Controlled value for routing-rule validation.</x:v>
      </x:c>
    </x:row>
    <x:row r="26">
      <x:c r="A26" t="str">
        <x:v>Plan Code</x:v>
      </x:c>
      <x:c r="B26" t="str">
        <x:v>EP-YFP</x:v>
      </x:c>
      <x:c r="C26" t="str">
        <x:v>Controlled value for routing-rule validation.</x:v>
      </x:c>
    </x:row>
    <x:row r="27">
      <x:c r="A27" t="str">
        <x:v>Plan Code</x:v>
      </x:c>
      <x:c r="B27" t="str">
        <x:v>EP-LTP</x:v>
      </x:c>
      <x:c r="C27" t="str">
        <x:v>Controlled value for routing-rule validation.</x:v>
      </x:c>
    </x:row>
    <x:row r="28">
      <x:c r="A28" t="str">
        <x:v>Plan Code</x:v>
      </x:c>
      <x:c r="B28" t="str">
        <x:v>EP-APP</x:v>
      </x:c>
      <x:c r="C28" t="str">
        <x:v>Controlled value for routing-rule validation.</x:v>
      </x:c>
    </x:row>
    <x:row r="29">
      <x:c r="A29" t="str">
        <x:v>Plan Code</x:v>
      </x:c>
      <x:c r="B29" t="str">
        <x:v>Senior Review</x:v>
      </x:c>
      <x:c r="C29" t="str">
        <x:v>Controlled value for routing-rule validation.</x:v>
      </x:c>
    </x:row>
    <x:row r="30">
      <x:c r="A30" t="str">
        <x:v>Plan Code</x:v>
      </x:c>
      <x:c r="B30" t="str">
        <x:v>Not Applicable</x:v>
      </x:c>
      <x:c r="C30" t="str">
        <x:v>Controlled value for routing-rule validation.</x:v>
      </x:c>
    </x:row>
    <x:row r="31">
      <x:c r="A31" t="str">
        <x:v>Family Track</x:v>
      </x:c>
      <x:c r="B31" t="str">
        <x:v>FST-1 Unified Long-Term Marriage</x:v>
      </x:c>
      <x:c r="C31" t="str">
        <x:v>Controlled value for routing-rule validation.</x:v>
      </x:c>
    </x:row>
    <x:row r="32">
      <x:c r="A32" t="str">
        <x:v>Family Track</x:v>
      </x:c>
      <x:c r="B32" t="str">
        <x:v>FST-2 Blended Long-Term Marriage</x:v>
      </x:c>
      <x:c r="C32" t="str">
        <x:v>Controlled value for routing-rule validation.</x:v>
      </x:c>
    </x:row>
    <x:row r="33">
      <x:c r="A33" t="str">
        <x:v>Family Track</x:v>
      </x:c>
      <x:c r="B33" t="str">
        <x:v>FST-3 Hybrid Blended Marriage</x:v>
      </x:c>
      <x:c r="C33" t="str">
        <x:v>Controlled value for routing-rule validation.</x:v>
      </x:c>
    </x:row>
    <x:row r="34">
      <x:c r="A34" t="str">
        <x:v>Family Track</x:v>
      </x:c>
      <x:c r="B34" t="str">
        <x:v>FST-4 Young Family Marriage</x:v>
      </x:c>
      <x:c r="C34" t="str">
        <x:v>Controlled value for routing-rule validation.</x:v>
      </x:c>
    </x:row>
    <x:row r="35">
      <x:c r="A35" t="str">
        <x:v>Family Track</x:v>
      </x:c>
      <x:c r="B35" t="str">
        <x:v>FST-5 Child-Free Long-Term Marriage</x:v>
      </x:c>
      <x:c r="C35" t="str">
        <x:v>Controlled value for routing-rule validation.</x:v>
      </x:c>
    </x:row>
    <x:row r="36">
      <x:c r="A36" t="str">
        <x:v>Family Track</x:v>
      </x:c>
      <x:c r="B36" t="str">
        <x:v>FST-6 Solo Survivor - No Children</x:v>
      </x:c>
      <x:c r="C36" t="str">
        <x:v>Controlled value for routing-rule validation.</x:v>
      </x:c>
    </x:row>
    <x:row r="37">
      <x:c r="A37" t="str">
        <x:v>Family Track</x:v>
      </x:c>
      <x:c r="B37" t="str">
        <x:v>FST-7 Solo Survivor - Joint Children</x:v>
      </x:c>
      <x:c r="C37" t="str">
        <x:v>Controlled value for routing-rule validation.</x:v>
      </x:c>
    </x:row>
    <x:row r="38">
      <x:c r="A38" t="str">
        <x:v>Family Track</x:v>
      </x:c>
      <x:c r="B38" t="str">
        <x:v>FST-8 Single Individual</x:v>
      </x:c>
      <x:c r="C38" t="str">
        <x:v>Controlled value for routing-rule validation.</x:v>
      </x:c>
    </x:row>
    <x:row r="39">
      <x:c r="A39" t="str">
        <x:v>Family Track</x:v>
      </x:c>
      <x:c r="B39" t="str">
        <x:v>Unknown</x:v>
      </x:c>
      <x:c r="C39" t="str">
        <x:v>Controlled value for routing-rule validation.</x:v>
      </x:c>
    </x:row>
    <x:row r="40">
      <x:c r="A40" t="str">
        <x:v>Tax Posture</x:v>
      </x:c>
      <x:c r="B40" t="str">
        <x:v>TAX-0 Non-taxable</x:v>
      </x:c>
      <x:c r="C40" t="str">
        <x:v>Controlled value for routing-rule validation.</x:v>
      </x:c>
    </x:row>
    <x:row r="41">
      <x:c r="A41" t="str">
        <x:v>Tax Posture</x:v>
      </x:c>
      <x:c r="B41" t="str">
        <x:v>TAX-1 State-tax-sensitive</x:v>
      </x:c>
      <x:c r="C41" t="str">
        <x:v>Controlled value for routing-rule validation.</x:v>
      </x:c>
    </x:row>
    <x:row r="42">
      <x:c r="A42" t="str">
        <x:v>Tax Posture</x:v>
      </x:c>
      <x:c r="B42" t="str">
        <x:v>TAX-2 Federal-tax-sensitive</x:v>
      </x:c>
      <x:c r="C42" t="str">
        <x:v>Controlled value for routing-rule validation.</x:v>
      </x:c>
    </x:row>
    <x:row r="43">
      <x:c r="A43" t="str">
        <x:v>Tax Posture</x:v>
      </x:c>
      <x:c r="B43" t="str">
        <x:v>TAX-3 Combined estate exceeds unified credit</x:v>
      </x:c>
      <x:c r="C43" t="str">
        <x:v>Controlled value for routing-rule validation.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6" hidden="0" customWidth="1"/>
    <x:col min="4" max="4" width="12" hidden="0" customWidth="1"/>
    <x:col min="5" max="5" width="12" hidden="0" customWidth="1"/>
    <x:col min="6" max="6" width="48" hidden="0" customWidth="1"/>
    <x:col min="7" max="7" width="48" hidden="0" customWidth="1"/>
    <x:col min="8" max="8" width="16" hidden="0" customWidth="1"/>
    <x:col min="9" max="9" width="24" hidden="0" customWidth="1"/>
    <x:col min="10" max="10" width="30" hidden="0" customWidth="1"/>
    <x:col min="11" max="11" width="18" hidden="0" customWidth="1"/>
    <x:col min="12" max="12" width="32" hidden="0" customWidth="1"/>
    <x:col min="13" max="13" width="58" hidden="0" customWidth="1"/>
  </x:cols>
  <x:sheetData>
    <x:row r="1">
      <x:c r="A1" s="15" t="str">
        <x:v>12D Routing Rules Table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</x:row>
    <x:row r="2">
      <x:c r="A2" s="22" t="str">
        <x:v>This sheet is the deterministic routing source of truth for family track, plan/scenario routing, exclusions, senior review, clause triggers, and Layer 4 confirmation. Scores recommend; hard gates and attorney confirmation control.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</x:row>
    <x:row r="4">
      <x:c r="A4" s="6" t="str">
        <x:v>Rule ID</x:v>
      </x:c>
      <x:c r="B4" s="6" t="str">
        <x:v>Layer</x:v>
      </x:c>
      <x:c r="C4" s="6" t="str">
        <x:v>Rule Type</x:v>
      </x:c>
      <x:c r="D4" s="6" t="str">
        <x:v>Priority</x:v>
      </x:c>
      <x:c r="E4" s="6" t="str">
        <x:v>Status</x:v>
      </x:c>
      <x:c r="F4" s="6" t="str">
        <x:v>Condition Summary</x:v>
      </x:c>
      <x:c r="G4" s="6" t="str">
        <x:v>Action Summary</x:v>
      </x:c>
      <x:c r="H4" s="6" t="str">
        <x:v>Plan Output</x:v>
      </x:c>
      <x:c r="I4" s="6" t="str">
        <x:v>Scenario Output</x:v>
      </x:c>
      <x:c r="J4" s="6" t="str">
        <x:v>Interview Track</x:v>
      </x:c>
      <x:c r="K4" s="6" t="str">
        <x:v>Senior Review Flag</x:v>
      </x:c>
      <x:c r="L4" s="6" t="str">
        <x:v>Exclusion / Conflict</x:v>
      </x:c>
      <x:c r="M4" s="6" t="str">
        <x:v>Notes</x:v>
      </x:c>
    </x:row>
    <x:row r="5">
      <x:c r="A5" s="26" t="str">
        <x:v>ROUTE-001</x:v>
      </x:c>
      <x:c r="B5" s="26" t="str">
        <x:v>Layer 1 - Intake/Routing</x:v>
      </x:c>
      <x:c r="C5" s="26" t="str">
        <x:v>Routing</x:v>
      </x:c>
      <x:c r="D5" s="26" t="str">
        <x:v>Critical</x:v>
      </x:c>
      <x:c r="E5" s="26" t="str">
        <x:v>Active</x:v>
      </x:c>
      <x:c r="F5" s="26" t="str">
        <x:v>Client is married; all children are joint children of both spouses; no separate children; no divergent remainder intent.</x:v>
      </x:c>
      <x:c r="G5" s="26" t="str">
        <x:v>Assign unified married track.</x:v>
      </x:c>
      <x:c r="H5" s="26" t="str">
        <x:v>EP-LTP</x:v>
      </x:c>
      <x:c r="I5" s="26" t="str">
        <x:v>TBD by scoring</x:v>
      </x:c>
      <x:c r="J5" s="26" t="str">
        <x:v>FST-1 Unified Long-Term Marriage</x:v>
      </x:c>
      <x:c r="K5" s="26" t="str">
        <x:v>No</x:v>
      </x:c>
      <x:c r="L5" s="26" t="str">
        <x:v>None</x:v>
      </x:c>
      <x:c r="M5" s="26" t="str">
        <x:v>Default unified long-term marriage pathway.</x:v>
      </x:c>
    </x:row>
    <x:row r="6">
      <x:c r="A6" s="26" t="str">
        <x:v>ROUTE-002</x:v>
      </x:c>
      <x:c r="B6" s="26" t="str">
        <x:v>Layer 1 - Intake/Routing</x:v>
      </x:c>
      <x:c r="C6" s="26" t="str">
        <x:v>Routing</x:v>
      </x:c>
      <x:c r="D6" s="26" t="str">
        <x:v>Critical</x:v>
      </x:c>
      <x:c r="E6" s="26" t="str">
        <x:v>Active</x:v>
      </x:c>
      <x:c r="F6" s="26" t="str">
        <x:v>Client is married and either spouse has children from another relationship or stepchildren are material to the plan.</x:v>
      </x:c>
      <x:c r="G6" s="26" t="str">
        <x:v>Assign blended-family track and require protected-share review.</x:v>
      </x:c>
      <x:c r="H6" s="26" t="str">
        <x:v>EP-LTP</x:v>
      </x:c>
      <x:c r="I6" s="26" t="str">
        <x:v>TBD by scoring</x:v>
      </x:c>
      <x:c r="J6" s="26" t="str">
        <x:v>FST-2 Blended Long-Term Marriage</x:v>
      </x:c>
      <x:c r="K6" s="26" t="str">
        <x:v>Yes</x:v>
      </x:c>
      <x:c r="L6" s="26" t="str">
        <x:v>Joint RLT may be inappropriate if remainder beneficiaries differ.</x:v>
      </x:c>
      <x:c r="M6" s="26" t="str">
        <x:v>Do not rely on unified-marriage defaults.</x:v>
      </x:c>
    </x:row>
    <x:row r="7">
      <x:c r="A7" s="26" t="str">
        <x:v>ROUTE-003</x:v>
      </x:c>
      <x:c r="B7" s="26" t="str">
        <x:v>Layer 1 - Intake/Routing</x:v>
      </x:c>
      <x:c r="C7" s="26" t="str">
        <x:v>Routing</x:v>
      </x:c>
      <x:c r="D7" s="26" t="str">
        <x:v>High</x:v>
      </x:c>
      <x:c r="E7" s="26" t="str">
        <x:v>Active</x:v>
      </x:c>
      <x:c r="F7" s="26" t="str">
        <x:v>Client is married with no children or descendants intended as primary remainder beneficiaries.</x:v>
      </x:c>
      <x:c r="G7" s="26" t="str">
        <x:v>Assign child-free married track; emphasize fiduciary scarcity and remote beneficiaries.</x:v>
      </x:c>
      <x:c r="H7" s="26" t="str">
        <x:v>EP-LTP</x:v>
      </x:c>
      <x:c r="I7" s="26" t="str">
        <x:v>TBD by scoring</x:v>
      </x:c>
      <x:c r="J7" s="26" t="str">
        <x:v>FST-5 Child-Free Long-Term Marriage</x:v>
      </x:c>
      <x:c r="K7" s="26" t="str">
        <x:v>Conditional</x:v>
      </x:c>
      <x:c r="L7" s="26" t="str">
        <x:v>None</x:v>
      </x:c>
      <x:c r="M7" s="26" t="str">
        <x:v>Often requires professional fiduciary or chosen-family/charity planning.</x:v>
      </x:c>
    </x:row>
    <x:row r="8">
      <x:c r="A8" s="26" t="str">
        <x:v>ROUTE-004</x:v>
      </x:c>
      <x:c r="B8" s="26" t="str">
        <x:v>Layer 1 - Intake/Routing</x:v>
      </x:c>
      <x:c r="C8" s="26" t="str">
        <x:v>Routing</x:v>
      </x:c>
      <x:c r="D8" s="26" t="str">
        <x:v>High</x:v>
      </x:c>
      <x:c r="E8" s="26" t="str">
        <x:v>Active</x:v>
      </x:c>
      <x:c r="F8" s="26" t="str">
        <x:v>Client is single, divorced, widowed, or unmarried and has children or descendants.</x:v>
      </x:c>
      <x:c r="G8" s="26" t="str">
        <x:v>Assign single-with-children script track.</x:v>
      </x:c>
      <x:c r="H8" s="26" t="str">
        <x:v>EP-LTP</x:v>
      </x:c>
      <x:c r="I8" s="26" t="str">
        <x:v>TBD by scoring</x:v>
      </x:c>
      <x:c r="J8" s="26" t="str">
        <x:v>FST-7 Solo Survivor - Joint Children</x:v>
      </x:c>
      <x:c r="K8" s="26" t="str">
        <x:v>Conditional</x:v>
      </x:c>
      <x:c r="L8" s="26" t="str">
        <x:v>No surviving spouse scenario.</x:v>
      </x:c>
      <x:c r="M8" s="26" t="str">
        <x:v>Skip first-death surviving spouse modules.</x:v>
      </x:c>
    </x:row>
    <x:row r="9">
      <x:c r="A9" s="26" t="str">
        <x:v>ROUTE-005</x:v>
      </x:c>
      <x:c r="B9" s="26" t="str">
        <x:v>Layer 1 - Intake/Routing</x:v>
      </x:c>
      <x:c r="C9" s="26" t="str">
        <x:v>Routing</x:v>
      </x:c>
      <x:c r="D9" s="26" t="str">
        <x:v>High</x:v>
      </x:c>
      <x:c r="E9" s="26" t="str">
        <x:v>Active</x:v>
      </x:c>
      <x:c r="F9" s="26" t="str">
        <x:v>Client is single, divorced, widowed, or unmarried and has no children/descendants.</x:v>
      </x:c>
      <x:c r="G9" s="26" t="str">
        <x:v>Assign single-no-children track; emphasize fiduciary scarcity, chosen beneficiaries, charity, professional fiduciary.</x:v>
      </x:c>
      <x:c r="H9" s="26" t="str">
        <x:v>EP-LTP</x:v>
      </x:c>
      <x:c r="I9" s="26" t="str">
        <x:v>TBD by scoring</x:v>
      </x:c>
      <x:c r="J9" s="26" t="str">
        <x:v>FST-6 Solo Survivor - No Children</x:v>
      </x:c>
      <x:c r="K9" s="26" t="str">
        <x:v>Conditional</x:v>
      </x:c>
      <x:c r="L9" s="26" t="str">
        <x:v>No surviving spouse scenario.</x:v>
      </x:c>
      <x:c r="M9" s="26" t="str">
        <x:v>Skip first-death surviving spouse modules.</x:v>
      </x:c>
    </x:row>
    <x:row r="10">
      <x:c r="A10" s="26" t="str">
        <x:v>ROUTE-006</x:v>
      </x:c>
      <x:c r="B10" s="26" t="str">
        <x:v>Layer 1 - Intake/Routing</x:v>
      </x:c>
      <x:c r="C10" s="26" t="str">
        <x:v>Routing</x:v>
      </x:c>
      <x:c r="D10" s="26" t="str">
        <x:v>High</x:v>
      </x:c>
      <x:c r="E10" s="26" t="str">
        <x:v>Active</x:v>
      </x:c>
      <x:c r="F10" s="26" t="str">
        <x:v>Client has minor children and guardianship is a core issue.</x:v>
      </x:c>
      <x:c r="G10" s="26" t="str">
        <x:v>Assign young-family planning track.</x:v>
      </x:c>
      <x:c r="H10" s="26" t="str">
        <x:v>EP-YFP</x:v>
      </x:c>
      <x:c r="I10" s="26" t="str">
        <x:v>Young Family Baseline</x:v>
      </x:c>
      <x:c r="J10" s="26" t="str">
        <x:v>FST-4 Young Family Marriage</x:v>
      </x:c>
      <x:c r="K10" s="26" t="str">
        <x:v>Conditional</x:v>
      </x:c>
      <x:c r="L10" s="26" t="str">
        <x:v>None</x:v>
      </x:c>
      <x:c r="M10" s="26" t="str">
        <x:v>Guardian designation and minor trust modules required.</x:v>
      </x:c>
    </x:row>
    <x:row r="11">
      <x:c r="A11" s="26" t="str">
        <x:v>ROUTE-007</x:v>
      </x:c>
      <x:c r="B11" s="26" t="str">
        <x:v>Layer 1 - Intake/Routing</x:v>
      </x:c>
      <x:c r="C11" s="26" t="str">
        <x:v>Senior Review</x:v>
      </x:c>
      <x:c r="D11" s="26" t="str">
        <x:v>Critical</x:v>
      </x:c>
      <x:c r="E11" s="26" t="str">
        <x:v>Active</x:v>
      </x:c>
      <x:c r="F11" s="26" t="str">
        <x:v>Any disinheritance of a child or descendant is requested.</x:v>
      </x:c>
      <x:c r="G11" s="26" t="str">
        <x:v>Flag senior review and require disinheritance protocol.</x:v>
      </x:c>
      <x:c r="H11" s="26" t="str">
        <x:v>Senior Review</x:v>
      </x:c>
      <x:c r="I11" s="26" t="str">
        <x:v>TBD</x:v>
      </x:c>
      <x:c r="J11" s="26" t="str">
        <x:v>Current track retained</x:v>
      </x:c>
      <x:c r="K11" s="26" t="str">
        <x:v>Yes</x:v>
      </x:c>
      <x:c r="L11" s="26" t="str">
        <x:v>Potential contest risk.</x:v>
      </x:c>
      <x:c r="M11" s="26" t="str">
        <x:v>Capture whether descendants of disinherited child are also disinherited.</x:v>
      </x:c>
    </x:row>
    <x:row r="12">
      <x:c r="A12" s="26" t="str">
        <x:v>ROUTE-008</x:v>
      </x:c>
      <x:c r="B12" s="26" t="str">
        <x:v>Layer 1 - Intake/Routing</x:v>
      </x:c>
      <x:c r="C12" s="26" t="str">
        <x:v>Senior Review</x:v>
      </x:c>
      <x:c r="D12" s="26" t="str">
        <x:v>Critical</x:v>
      </x:c>
      <x:c r="E12" s="26" t="str">
        <x:v>Active</x:v>
      </x:c>
      <x:c r="F12" s="26" t="str">
        <x:v>Client indicates different final beneficiaries between spouses.</x:v>
      </x:c>
      <x:c r="G12" s="26" t="str">
        <x:v>Flag joint trust warning and require separate-trust/protected-share review.</x:v>
      </x:c>
      <x:c r="H12" s="26" t="str">
        <x:v>EP-LTP</x:v>
      </x:c>
      <x:c r="I12" s="26" t="str">
        <x:v>TBD</x:v>
      </x:c>
      <x:c r="J12" s="26" t="str">
        <x:v>Blended or separate-property review</x:v>
      </x:c>
      <x:c r="K12" s="26" t="str">
        <x:v>Yes</x:v>
      </x:c>
      <x:c r="L12" s="26" t="str">
        <x:v>Joint RLT may be inappropriate.</x:v>
      </x:c>
      <x:c r="M12" s="26" t="str">
        <x:v>Do not proceed with joint trust without attorney confirmation.</x:v>
      </x:c>
    </x:row>
    <x:row r="13">
      <x:c r="A13" s="26" t="str">
        <x:v>ROUTE-009</x:v>
      </x:c>
      <x:c r="B13" s="26" t="str">
        <x:v>Layer 1 - Intake/Routing</x:v>
      </x:c>
      <x:c r="C13" s="26" t="str">
        <x:v>Routing</x:v>
      </x:c>
      <x:c r="D13" s="26" t="str">
        <x:v>High</x:v>
      </x:c>
      <x:c r="E13" s="26" t="str">
        <x:v>Active</x:v>
      </x:c>
      <x:c r="F13" s="26" t="str">
        <x:v>Married couple manages assets jointly or mostly jointly with limited exceptions.</x:v>
      </x:c>
      <x:c r="G13" s="26" t="str">
        <x:v>Joint RLT may be available if remainder beneficiaries align.</x:v>
      </x:c>
      <x:c r="H13" s="26" t="str">
        <x:v>EP-LTP</x:v>
      </x:c>
      <x:c r="I13" s="26" t="str">
        <x:v>TBD</x:v>
      </x:c>
      <x:c r="J13" s="26" t="str">
        <x:v>Current married track</x:v>
      </x:c>
      <x:c r="K13" s="26" t="str">
        <x:v>Conditional</x:v>
      </x:c>
      <x:c r="L13" s="26" t="str">
        <x:v>Separate-property exceptions must be documented.</x:v>
      </x:c>
      <x:c r="M13" s="26" t="str">
        <x:v>Requires joint-trust comfort question.</x:v>
      </x:c>
    </x:row>
    <x:row r="14">
      <x:c r="A14" s="26" t="str">
        <x:v>ROUTE-010</x:v>
      </x:c>
      <x:c r="B14" s="26" t="str">
        <x:v>Layer 1 - Intake/Routing</x:v>
      </x:c>
      <x:c r="C14" s="26" t="str">
        <x:v>Routing</x:v>
      </x:c>
      <x:c r="D14" s="26" t="str">
        <x:v>High</x:v>
      </x:c>
      <x:c r="E14" s="26" t="str">
        <x:v>Active</x:v>
      </x:c>
      <x:c r="F14" s="26" t="str">
        <x:v>Married couple intentionally manages assets separately and does not want to convert to joint plan.</x:v>
      </x:c>
      <x:c r="G14" s="26" t="str">
        <x:v>Use separate RLTs or will-based structure; senior review if remainder differs.</x:v>
      </x:c>
      <x:c r="H14" s="26" t="str">
        <x:v>EP-LTP</x:v>
      </x:c>
      <x:c r="I14" s="26" t="str">
        <x:v>TBD</x:v>
      </x:c>
      <x:c r="J14" s="26" t="str">
        <x:v>Separate-trust track</x:v>
      </x:c>
      <x:c r="K14" s="26" t="str">
        <x:v>Conditional</x:v>
      </x:c>
      <x:c r="L14" s="26" t="str">
        <x:v>Joint RLT not default.</x:v>
      </x:c>
      <x:c r="M14" s="26" t="str">
        <x:v>Separate property schedules required.</x:v>
      </x:c>
    </x:row>
    <x:row r="15">
      <x:c r="A15" s="26" t="str">
        <x:v>ROUTE-011</x:v>
      </x:c>
      <x:c r="B15" s="26" t="str">
        <x:v>Layer 1 - Intake/Routing</x:v>
      </x:c>
      <x:c r="C15" s="26" t="str">
        <x:v>Hard Gate</x:v>
      </x:c>
      <x:c r="D15" s="26" t="str">
        <x:v>Critical</x:v>
      </x:c>
      <x:c r="E15" s="26" t="str">
        <x:v>Active</x:v>
      </x:c>
      <x:c r="F15" s="26" t="str">
        <x:v>Client requests or prioritizes MAPT planning or irrevocable asset transfer for Medicaid asset protection.</x:v>
      </x:c>
      <x:c r="G15" s="26" t="str">
        <x:v>Route to EP-APP; exclude EP-AIP.0, EP-AIP.1, EP-AIP.2.</x:v>
      </x:c>
      <x:c r="H15" s="26" t="str">
        <x:v>EP-APP</x:v>
      </x:c>
      <x:c r="I15" s="26" t="str">
        <x:v>APP-1 or APP-2</x:v>
      </x:c>
      <x:c r="J15" s="26" t="str">
        <x:v>Asset Protection Plan track</x:v>
      </x:c>
      <x:c r="K15" s="26" t="str">
        <x:v>Yes</x:v>
      </x:c>
      <x:c r="L15" s="26" t="str">
        <x:v>MAPT and EP-AIP are mutually exclusive.</x:v>
      </x:c>
      <x:c r="M15" s="26" t="str">
        <x:v>MAPT preserves assets for persons other than settlor/spouse, typically descendants or next generation.</x:v>
      </x:c>
    </x:row>
    <x:row r="16">
      <x:c r="A16" s="26" t="str">
        <x:v>ROUTE-012</x:v>
      </x:c>
      <x:c r="B16" s="26" t="str">
        <x:v>Layer 1 - Intake/Routing</x:v>
      </x:c>
      <x:c r="C16" s="26" t="str">
        <x:v>Exclusion</x:v>
      </x:c>
      <x:c r="D16" s="26" t="str">
        <x:v>Critical</x:v>
      </x:c>
      <x:c r="E16" s="26" t="str">
        <x:v>Active</x:v>
      </x:c>
      <x:c r="F16" s="26" t="str">
        <x:v>EP-AIP.0, EP-AIP.1, or EP-AIP.2 is selected or recommended.</x:v>
      </x:c>
      <x:c r="G16" s="26" t="str">
        <x:v>Do not include MAPT planning in AIP scenario.</x:v>
      </x:c>
      <x:c r="H16" s="26" t="str">
        <x:v>EP-LTP</x:v>
      </x:c>
      <x:c r="I16" s="26" t="str">
        <x:v>EP-AIP.0/.1/.2</x:v>
      </x:c>
      <x:c r="J16" s="26" t="str">
        <x:v>Current EP-LTP track</x:v>
      </x:c>
      <x:c r="K16" s="26" t="str">
        <x:v>No</x:v>
      </x:c>
      <x:c r="L16" s="26" t="str">
        <x:v>MAPT excluded.</x:v>
      </x:c>
      <x:c r="M16" s="26" t="str">
        <x:v>AIP is revocable-plan care-spending posture.</x:v>
      </x:c>
    </x:row>
    <x:row r="17">
      <x:c r="A17" s="26" t="str">
        <x:v>ROUTE-013</x:v>
      </x:c>
      <x:c r="B17" s="26" t="str">
        <x:v>Layer 1 - Intake/Routing</x:v>
      </x:c>
      <x:c r="C17" s="26" t="str">
        <x:v>Senior Review</x:v>
      </x:c>
      <x:c r="D17" s="26" t="str">
        <x:v>Critical</x:v>
      </x:c>
      <x:c r="E17" s="26" t="str">
        <x:v>Active</x:v>
      </x:c>
      <x:c r="F17" s="26" t="str">
        <x:v>Tax posture is TAX-3 combined estate exceeds unified credit.</x:v>
      </x:c>
      <x:c r="G17" s="26" t="str">
        <x:v>Require senior tax review before final design.</x:v>
      </x:c>
      <x:c r="H17" s="26" t="str">
        <x:v>Senior Review</x:v>
      </x:c>
      <x:c r="I17" s="26" t="str">
        <x:v>A/B/C or advanced tax TBD</x:v>
      </x:c>
      <x:c r="J17" s="26" t="str">
        <x:v>Current track retained</x:v>
      </x:c>
      <x:c r="K17" s="26" t="str">
        <x:v>Yes</x:v>
      </x:c>
      <x:c r="L17" s="26" t="str">
        <x:v>Do not finalize standard scenario on score alone.</x:v>
      </x:c>
      <x:c r="M17" s="26" t="str">
        <x:v>Potential expanded estate/gift tax engagement.</x:v>
      </x:c>
    </x:row>
    <x:row r="18">
      <x:c r="A18" s="26" t="str">
        <x:v>ROUTE-014</x:v>
      </x:c>
      <x:c r="B18" s="26" t="str">
        <x:v>Layer 1 - Intake/Routing</x:v>
      </x:c>
      <x:c r="C18" s="26" t="str">
        <x:v>Senior Review</x:v>
      </x:c>
      <x:c r="D18" s="26" t="str">
        <x:v>High</x:v>
      </x:c>
      <x:c r="E18" s="26" t="str">
        <x:v>Active</x:v>
      </x:c>
      <x:c r="F18" s="26" t="str">
        <x:v>Tax posture is TAX-2 federal-tax-sensitive.</x:v>
      </x:c>
      <x:c r="G18" s="26" t="str">
        <x:v>Flag senior tax review and consider portability, credit shelter, QTIP, A/B/C.</x:v>
      </x:c>
      <x:c r="H18" s="26" t="str">
        <x:v>EP-LTP</x:v>
      </x:c>
      <x:c r="I18" s="26" t="str">
        <x:v>EP-LTP.ABC.1 possible</x:v>
      </x:c>
      <x:c r="J18" s="26" t="str">
        <x:v>Current track retained</x:v>
      </x:c>
      <x:c r="K18" s="26" t="str">
        <x:v>Yes</x:v>
      </x:c>
      <x:c r="L18" s="26" t="str">
        <x:v>None</x:v>
      </x:c>
      <x:c r="M18" s="26" t="str">
        <x:v>Do not let non-tax scenario override tax review.</x:v>
      </x:c>
    </x:row>
    <x:row r="19">
      <x:c r="A19" s="26" t="str">
        <x:v>ROUTE-015</x:v>
      </x:c>
      <x:c r="B19" s="26" t="str">
        <x:v>Layer 1 - Intake/Routing</x:v>
      </x:c>
      <x:c r="C19" s="26" t="str">
        <x:v>Senior Review</x:v>
      </x:c>
      <x:c r="D19" s="26" t="str">
        <x:v>High</x:v>
      </x:c>
      <x:c r="E19" s="26" t="str">
        <x:v>Active</x:v>
      </x:c>
      <x:c r="F19" s="26" t="str">
        <x:v>Tax posture is TAX-1 state-tax-sensitive.</x:v>
      </x:c>
      <x:c r="G19" s="26" t="str">
        <x:v>Flag state estate tax review and consider A/B or A/B/C.</x:v>
      </x:c>
      <x:c r="H19" s="26" t="str">
        <x:v>EP-LTP</x:v>
      </x:c>
      <x:c r="I19" s="26" t="str">
        <x:v>EP-LTP.AB.1 or EP-LTP.ABC.1 possible</x:v>
      </x:c>
      <x:c r="J19" s="26" t="str">
        <x:v>Current track retained</x:v>
      </x:c>
      <x:c r="K19" s="26" t="str">
        <x:v>Conditional</x:v>
      </x:c>
      <x:c r="L19" s="26" t="str">
        <x:v>None</x:v>
      </x:c>
      <x:c r="M19" s="26" t="str">
        <x:v>Compare estate-tax savings with basis consequences.</x:v>
      </x:c>
    </x:row>
    <x:row r="20">
      <x:c r="A20" s="26" t="str">
        <x:v>ROUTE-016</x:v>
      </x:c>
      <x:c r="B20" s="26" t="str">
        <x:v>Layer 1 - Intake/Routing</x:v>
      </x:c>
      <x:c r="C20" s="26" t="str">
        <x:v>Routing</x:v>
      </x:c>
      <x:c r="D20" s="26" t="str">
        <x:v>Medium</x:v>
      </x:c>
      <x:c r="E20" s="26" t="str">
        <x:v>Active</x:v>
      </x:c>
      <x:c r="F20" s="26" t="str">
        <x:v>Tax posture is TAX-0 non-taxable.</x:v>
      </x:c>
      <x:c r="G20" s="26" t="str">
        <x:v>Proceed with non-tax scenario scoring unless other hard gates apply.</x:v>
      </x:c>
      <x:c r="H20" s="26" t="str">
        <x:v>EP-LTP</x:v>
      </x:c>
      <x:c r="I20" s="26" t="str">
        <x:v>TBD by scoring</x:v>
      </x:c>
      <x:c r="J20" s="26" t="str">
        <x:v>Current track retained</x:v>
      </x:c>
      <x:c r="K20" s="26" t="str">
        <x:v>No</x:v>
      </x:c>
      <x:c r="L20" s="26" t="str">
        <x:v>None</x:v>
      </x:c>
      <x:c r="M20" s="26" t="str">
        <x:v>Tax-driven A/B/A-B-C not primary.</x:v>
      </x:c>
    </x:row>
    <x:row r="21">
      <x:c r="A21" s="26" t="str">
        <x:v>ROUTE-017</x:v>
      </x:c>
      <x:c r="B21" s="26" t="str">
        <x:v>Layer 1 - Intake/Routing</x:v>
      </x:c>
      <x:c r="C21" s="26" t="str">
        <x:v>Senior Review</x:v>
      </x:c>
      <x:c r="D21" s="26" t="str">
        <x:v>High</x:v>
      </x:c>
      <x:c r="E21" s="26" t="str">
        <x:v>Active</x:v>
      </x:c>
      <x:c r="F21" s="26" t="str">
        <x:v>Known disabled or benefits-sensitive beneficiary identified.</x:v>
      </x:c>
      <x:c r="G21" s="26" t="str">
        <x:v>Trigger P18 and descendant SNT review.</x:v>
      </x:c>
      <x:c r="H21" s="26" t="str">
        <x:v>Current plan retained</x:v>
      </x:c>
      <x:c r="I21" s="26" t="str">
        <x:v>SNT clause path possible</x:v>
      </x:c>
      <x:c r="J21" s="26" t="str">
        <x:v>Current track retained</x:v>
      </x:c>
      <x:c r="K21" s="26" t="str">
        <x:v>Yes</x:v>
      </x:c>
      <x:c r="L21" s="26" t="str">
        <x:v>Outright distribution unsafe.</x:v>
      </x:c>
      <x:c r="M21" s="26" t="str">
        <x:v>Requires beneficiary-specific design.</x:v>
      </x:c>
    </x:row>
    <x:row r="22">
      <x:c r="A22" s="26" t="str">
        <x:v>ROUTE-018</x:v>
      </x:c>
      <x:c r="B22" s="26" t="str">
        <x:v>Layer 1 - Intake/Routing</x:v>
      </x:c>
      <x:c r="C22" s="26" t="str">
        <x:v>Senior Review</x:v>
      </x:c>
      <x:c r="D22" s="26" t="str">
        <x:v>High</x:v>
      </x:c>
      <x:c r="E22" s="26" t="str">
        <x:v>Active</x:v>
      </x:c>
      <x:c r="F22" s="26" t="str">
        <x:v>Beneficiary has creditor, divorce, addiction, dependency, stability, lawsuit, or financial-management concern.</x:v>
      </x:c>
      <x:c r="G22" s="26" t="str">
        <x:v>Trigger P12 and protective trust review.</x:v>
      </x:c>
      <x:c r="H22" s="26" t="str">
        <x:v>Current plan retained</x:v>
      </x:c>
      <x:c r="I22" s="26" t="str">
        <x:v>Protective trust possible</x:v>
      </x:c>
      <x:c r="J22" s="26" t="str">
        <x:v>Current track retained</x:v>
      </x:c>
      <x:c r="K22" s="26" t="str">
        <x:v>Conditional</x:v>
      </x:c>
      <x:c r="L22" s="26" t="str">
        <x:v>Beneficiary-controlled trust may be inappropriate.</x:v>
      </x:c>
      <x:c r="M22" s="26" t="str">
        <x:v>Use dignified sensitive-beneficiary language.</x:v>
      </x:c>
    </x:row>
    <x:row r="23">
      <x:c r="A23" s="26" t="str">
        <x:v>ROUTE-019</x:v>
      </x:c>
      <x:c r="B23" s="26" t="str">
        <x:v>Layer 1 - Intake/Routing</x:v>
      </x:c>
      <x:c r="C23" s="26" t="str">
        <x:v>Senior Review</x:v>
      </x:c>
      <x:c r="D23" s="26" t="str">
        <x:v>High</x:v>
      </x:c>
      <x:c r="E23" s="26" t="str">
        <x:v>Active</x:v>
      </x:c>
      <x:c r="F23" s="26" t="str">
        <x:v>Family conflict, estrangement, likely contest, or fiduciary-foil issue identified.</x:v>
      </x:c>
      <x:c r="G23" s="26" t="str">
        <x:v>Trigger P19 and senior review.</x:v>
      </x:c>
      <x:c r="H23" s="26" t="str">
        <x:v>Current plan retained</x:v>
      </x:c>
      <x:c r="I23" s="26" t="str">
        <x:v>TBD</x:v>
      </x:c>
      <x:c r="J23" s="26" t="str">
        <x:v>Current track retained</x:v>
      </x:c>
      <x:c r="K23" s="26" t="str">
        <x:v>Yes</x:v>
      </x:c>
      <x:c r="L23" s="26" t="str">
        <x:v>Potential conflict among fiduciary and beneficiaries.</x:v>
      </x:c>
      <x:c r="M23" s="26" t="str">
        <x:v>Consider no-contest, professional fiduciary, attorney memo.</x:v>
      </x:c>
    </x:row>
    <x:row r="24">
      <x:c r="A24" s="26" t="str">
        <x:v>ROUTE-020</x:v>
      </x:c>
      <x:c r="B24" s="26" t="str">
        <x:v>Layer 1 - Intake/Routing</x:v>
      </x:c>
      <x:c r="C24" s="26" t="str">
        <x:v>Senior Review</x:v>
      </x:c>
      <x:c r="D24" s="26" t="str">
        <x:v>Medium</x:v>
      </x:c>
      <x:c r="E24" s="26" t="str">
        <x:v>Active</x:v>
      </x:c>
      <x:c r="F24" s="26" t="str">
        <x:v>Client has business, farm, LLC, rental entity, family camp, firearms, cryptocurrency, out-of-state property, or similar special asset.</x:v>
      </x:c>
      <x:c r="G24" s="26" t="str">
        <x:v>Trigger special asset module and possible senior review.</x:v>
      </x:c>
      <x:c r="H24" s="26" t="str">
        <x:v>Current plan retained</x:v>
      </x:c>
      <x:c r="I24" s="26" t="str">
        <x:v>TBD</x:v>
      </x:c>
      <x:c r="J24" s="26" t="str">
        <x:v>Current track retained</x:v>
      </x:c>
      <x:c r="K24" s="26" t="str">
        <x:v>Conditional</x:v>
      </x:c>
      <x:c r="L24" s="26" t="str">
        <x:v>Special asset may need separate module or clause.</x:v>
      </x:c>
      <x:c r="M24" s="26" t="str">
        <x:v>See special asset routing rules.</x:v>
      </x:c>
    </x:row>
    <x:row r="25">
      <x:c r="A25" s="26" t="str">
        <x:v>ROUTE-021</x:v>
      </x:c>
      <x:c r="B25" s="26" t="str">
        <x:v>Layer 2 - Priority/Scenario</x:v>
      </x:c>
      <x:c r="C25" s="26" t="str">
        <x:v>Routing</x:v>
      </x:c>
      <x:c r="D25" s="26" t="str">
        <x:v>High</x:v>
      </x:c>
      <x:c r="E25" s="26" t="str">
        <x:v>Active</x:v>
      </x:c>
      <x:c r="F25" s="26" t="str">
        <x:v>High P3; client wants assets used to remain at home; institutional placement expressly disfavored or disallowed unless impossible.</x:v>
      </x:c>
      <x:c r="G25" s="26" t="str">
        <x:v>Recommend EP-AIP.0 Aging in Place Strong.</x:v>
      </x:c>
      <x:c r="H25" s="26" t="str">
        <x:v>EP-LTP</x:v>
      </x:c>
      <x:c r="I25" s="26" t="str">
        <x:v>EP-AIP.0</x:v>
      </x:c>
      <x:c r="J25" s="26" t="str">
        <x:v>Current track retained</x:v>
      </x:c>
      <x:c r="K25" s="26" t="str">
        <x:v>Conditional</x:v>
      </x:c>
      <x:c r="L25" s="26" t="str">
        <x:v>Exclude if MAPT/EP-APP transfer planning primary.</x:v>
      </x:c>
      <x:c r="M25" s="26" t="str">
        <x:v>Confirm strength of home-care mandate and exceptions.</x:v>
      </x:c>
    </x:row>
    <x:row r="26">
      <x:c r="A26" s="26" t="str">
        <x:v>ROUTE-022</x:v>
      </x:c>
      <x:c r="B26" s="26" t="str">
        <x:v>Layer 2 - Priority/Scenario</x:v>
      </x:c>
      <x:c r="C26" s="26" t="str">
        <x:v>Routing</x:v>
      </x:c>
      <x:c r="D26" s="26" t="str">
        <x:v>High</x:v>
      </x:c>
      <x:c r="E26" s="26" t="str">
        <x:v>Active</x:v>
      </x:c>
      <x:c r="F26" s="26" t="str">
        <x:v>High P4; home is first option but comfortable institutional care is allowed if home care is unrealistic.</x:v>
      </x:c>
      <x:c r="G26" s="26" t="str">
        <x:v>Recommend EP-AIP.1 Aging in Place Weak.</x:v>
      </x:c>
      <x:c r="H26" s="26" t="str">
        <x:v>EP-LTP</x:v>
      </x:c>
      <x:c r="I26" s="26" t="str">
        <x:v>EP-AIP.1</x:v>
      </x:c>
      <x:c r="J26" s="26" t="str">
        <x:v>Current track retained</x:v>
      </x:c>
      <x:c r="K26" s="26" t="str">
        <x:v>Conditional</x:v>
      </x:c>
      <x:c r="L26" s="26" t="str">
        <x:v>Exclude if client insists on home regardless of cost or prioritizes asset preservation over care spending.</x:v>
      </x:c>
      <x:c r="M26" s="26" t="str">
        <x:v>Confirm private room, companion care, supplemental services.</x:v>
      </x:c>
    </x:row>
    <x:row r="27">
      <x:c r="A27" s="26" t="str">
        <x:v>ROUTE-023</x:v>
      </x:c>
      <x:c r="B27" s="26" t="str">
        <x:v>Layer 2 - Priority/Scenario</x:v>
      </x:c>
      <x:c r="C27" s="26" t="str">
        <x:v>Routing</x:v>
      </x:c>
      <x:c r="D27" s="26" t="str">
        <x:v>High</x:v>
      </x:c>
      <x:c r="E27" s="26" t="str">
        <x:v>Active</x:v>
      </x:c>
      <x:c r="F27" s="26" t="str">
        <x:v>Married client; spouse/community-spouse preservation priority; crisis powers allowed primarily for spouse; remains revocable-plan care-spending posture.</x:v>
      </x:c>
      <x:c r="G27" s="26" t="str">
        <x:v>Recommend EP-AIP.2 Aging in Place Hybrid.</x:v>
      </x:c>
      <x:c r="H27" s="26" t="str">
        <x:v>EP-LTP</x:v>
      </x:c>
      <x:c r="I27" s="26" t="str">
        <x:v>EP-AIP.2</x:v>
      </x:c>
      <x:c r="J27" s="26" t="str">
        <x:v>Married track</x:v>
      </x:c>
      <x:c r="K27" s="26" t="str">
        <x:v>Conditional</x:v>
      </x:c>
      <x:c r="L27" s="26" t="str">
        <x:v>Exclude if single client or MAPT/EP-APP desired for next-generation preservation.</x:v>
      </x:c>
      <x:c r="M27" s="26" t="str">
        <x:v>AIP.2 does not include MAPT planning.</x:v>
      </x:c>
    </x:row>
    <x:row r="28">
      <x:c r="A28" s="26" t="str">
        <x:v>ROUTE-024</x:v>
      </x:c>
      <x:c r="B28" s="26" t="str">
        <x:v>Layer 2 - Priority/Scenario</x:v>
      </x:c>
      <x:c r="C28" s="26" t="str">
        <x:v>Routing</x:v>
      </x:c>
      <x:c r="D28" s="26" t="str">
        <x:v>Critical</x:v>
      </x:c>
      <x:c r="E28" s="26" t="str">
        <x:v>Active</x:v>
      </x:c>
      <x:c r="F28" s="26" t="str">
        <x:v>High P6 and P7; client accepts automatic first-death protection for surviving spouse through testamentary SNT.</x:v>
      </x:c>
      <x:c r="G28" s="26" t="str">
        <x:v>Recommend Forced 100% Surviving Spouse SNT.</x:v>
      </x:c>
      <x:c r="H28" s="26" t="str">
        <x:v>EP-LTP</x:v>
      </x:c>
      <x:c r="I28" s="26" t="str">
        <x:v>EP-LTP.SS-SNT.1</x:v>
      </x:c>
      <x:c r="J28" s="26" t="str">
        <x:v>Married track</x:v>
      </x:c>
      <x:c r="K28" s="26" t="str">
        <x:v>Conditional</x:v>
      </x:c>
      <x:c r="L28" s="26" t="str">
        <x:v>May skip remarriage questions unless attorney reopens.</x:v>
      </x:c>
      <x:c r="M28" s="26" t="str">
        <x:v>Most common primary EP-LTP first-death scenario.</x:v>
      </x:c>
    </x:row>
    <x:row r="29">
      <x:c r="A29" s="26" t="str">
        <x:v>ROUTE-025</x:v>
      </x:c>
      <x:c r="B29" s="26" t="str">
        <x:v>Layer 2 - Priority/Scenario</x:v>
      </x:c>
      <x:c r="C29" s="26" t="str">
        <x:v>Routing</x:v>
      </x:c>
      <x:c r="D29" s="26" t="str">
        <x:v>Critical</x:v>
      </x:c>
      <x:c r="E29" s="26" t="str">
        <x:v>Active</x:v>
      </x:c>
      <x:c r="F29" s="26" t="str">
        <x:v>High P6/P7 but client wants SNT only if survivor is disabled, receiving benefits, in nursing home, or medically likely to need nursing-home care.</x:v>
      </x:c>
      <x:c r="G29" s="26" t="str">
        <x:v>Recommend Conditional 100% Surviving Spouse SNT.</x:v>
      </x:c>
      <x:c r="H29" s="26" t="str">
        <x:v>EP-LTP</x:v>
      </x:c>
      <x:c r="I29" s="26" t="str">
        <x:v>EP-LTP.SS-SNT.2</x:v>
      </x:c>
      <x:c r="J29" s="26" t="str">
        <x:v>Married track</x:v>
      </x:c>
      <x:c r="K29" s="26" t="str">
        <x:v>Conditional</x:v>
      </x:c>
      <x:c r="L29" s="26" t="str">
        <x:v>Condition must be drafted precisely.</x:v>
      </x:c>
      <x:c r="M29" s="26" t="str">
        <x:v>If condition unlikely and client has ample resources, move to A/B/remarriage variations.</x:v>
      </x:c>
    </x:row>
    <x:row r="30">
      <x:c r="A30" s="26" t="str">
        <x:v>ROUTE-026</x:v>
      </x:c>
      <x:c r="B30" s="26" t="str">
        <x:v>Layer 2 - Priority/Scenario</x:v>
      </x:c>
      <x:c r="C30" s="26" t="str">
        <x:v>Routing</x:v>
      </x:c>
      <x:c r="D30" s="26" t="str">
        <x:v>High</x:v>
      </x:c>
      <x:c r="E30" s="26" t="str">
        <x:v>Active</x:v>
      </x:c>
      <x:c r="F30" s="26" t="str">
        <x:v>Client rejects forced and conditional SS-SNT but wants deceased spouse share protected for survivor and final beneficiaries.</x:v>
      </x:c>
      <x:c r="G30" s="26" t="str">
        <x:v>Recommend A/B Spousal Protection Plan or protected survivor trust path.</x:v>
      </x:c>
      <x:c r="H30" s="26" t="str">
        <x:v>EP-LTP</x:v>
      </x:c>
      <x:c r="I30" s="26" t="str">
        <x:v>EP-LTP.AB.1</x:v>
      </x:c>
      <x:c r="J30" s="26" t="str">
        <x:v>Married track</x:v>
      </x:c>
      <x:c r="K30" s="26" t="str">
        <x:v>Conditional</x:v>
      </x:c>
      <x:c r="L30" s="26" t="str">
        <x:v>May conflict with complete survivor control.</x:v>
      </x:c>
      <x:c r="M30" s="26" t="str">
        <x:v>Used after SS-SNT decision branch.</x:v>
      </x:c>
    </x:row>
    <x:row r="31">
      <x:c r="A31" s="26" t="str">
        <x:v>ROUTE-027</x:v>
      </x:c>
      <x:c r="B31" s="26" t="str">
        <x:v>Layer 2 - Priority/Scenario</x:v>
      </x:c>
      <x:c r="C31" s="26" t="str">
        <x:v>Routing</x:v>
      </x:c>
      <x:c r="D31" s="26" t="str">
        <x:v>High</x:v>
      </x:c>
      <x:c r="E31" s="26" t="str">
        <x:v>Active</x:v>
      </x:c>
      <x:c r="F31" s="26" t="str">
        <x:v>Estate-tax planning, state/federal tax posture, QTIP, portability, credit shelter, or formula funding needed.</x:v>
      </x:c>
      <x:c r="G31" s="26" t="str">
        <x:v>Recommend A/B/C Advanced Tax Protection Plan or senior tax review.</x:v>
      </x:c>
      <x:c r="H31" s="26" t="str">
        <x:v>EP-LTP</x:v>
      </x:c>
      <x:c r="I31" s="26" t="str">
        <x:v>EP-LTP.ABC.1</x:v>
      </x:c>
      <x:c r="J31" s="26" t="str">
        <x:v>Married track</x:v>
      </x:c>
      <x:c r="K31" s="26" t="str">
        <x:v>Yes</x:v>
      </x:c>
      <x:c r="L31" s="26" t="str">
        <x:v>Standard non-tax scenario not sufficient.</x:v>
      </x:c>
      <x:c r="M31" s="26" t="str">
        <x:v>TAX-2/TAX-3 routes must be reviewed.</x:v>
      </x:c>
    </x:row>
    <x:row r="32">
      <x:c r="A32" s="26" t="str">
        <x:v>ROUTE-028</x:v>
      </x:c>
      <x:c r="B32" s="26" t="str">
        <x:v>Layer 2 - Priority/Scenario</x:v>
      </x:c>
      <x:c r="C32" s="26" t="str">
        <x:v>Routing</x:v>
      </x:c>
      <x:c r="D32" s="26" t="str">
        <x:v>Medium</x:v>
      </x:c>
      <x:c r="E32" s="26" t="str">
        <x:v>Active</x:v>
      </x:c>
      <x:c r="F32" s="26" t="str">
        <x:v>P8 high; client concerned about remarriage but wants default model, income only from deceased spouse's share after remarriage.</x:v>
      </x:c>
      <x:c r="G32" s="26" t="str">
        <x:v>Recommend Remarriage 1.</x:v>
      </x:c>
      <x:c r="H32" s="26" t="str">
        <x:v>EP-LTP</x:v>
      </x:c>
      <x:c r="I32" s="26" t="str">
        <x:v>EP-LTP.RM.1</x:v>
      </x:c>
      <x:c r="J32" s="26" t="str">
        <x:v>Married track</x:v>
      </x:c>
      <x:c r="K32" s="26" t="str">
        <x:v>Conditional</x:v>
      </x:c>
      <x:c r="L32" s="26" t="str">
        <x:v>Usually modifier to A/B/protected share design.</x:v>
      </x:c>
      <x:c r="M32" s="26" t="str">
        <x:v>Income-only on remarriage.</x:v>
      </x:c>
    </x:row>
    <x:row r="33">
      <x:c r="A33" s="26" t="str">
        <x:v>ROUTE-029</x:v>
      </x:c>
      <x:c r="B33" s="26" t="str">
        <x:v>Layer 2 - Priority/Scenario</x:v>
      </x:c>
      <x:c r="C33" s="26" t="str">
        <x:v>Routing</x:v>
      </x:c>
      <x:c r="D33" s="26" t="str">
        <x:v>Medium</x:v>
      </x:c>
      <x:c r="E33" s="26" t="str">
        <x:v>Active</x:v>
      </x:c>
      <x:c r="F33" s="26" t="str">
        <x:v>P8 high; client wants remarriage principal lock but restoration if later marriage ends.</x:v>
      </x:c>
      <x:c r="G33" s="26" t="str">
        <x:v>Recommend Remarriage 2.</x:v>
      </x:c>
      <x:c r="H33" s="26" t="str">
        <x:v>EP-LTP</x:v>
      </x:c>
      <x:c r="I33" s="26" t="str">
        <x:v>EP-LTP.RM.2</x:v>
      </x:c>
      <x:c r="J33" s="26" t="str">
        <x:v>Married track</x:v>
      </x:c>
      <x:c r="K33" s="26" t="str">
        <x:v>Conditional</x:v>
      </x:c>
      <x:c r="L33" s="26" t="str">
        <x:v>Requires clear restoration trigger.</x:v>
      </x:c>
      <x:c r="M33" s="26" t="str">
        <x:v>Remarriage lock/unmarriage restore.</x:v>
      </x:c>
    </x:row>
    <x:row r="34">
      <x:c r="A34" s="26" t="str">
        <x:v>ROUTE-030</x:v>
      </x:c>
      <x:c r="B34" s="26" t="str">
        <x:v>Layer 2 - Priority/Scenario</x:v>
      </x:c>
      <x:c r="C34" s="26" t="str">
        <x:v>Routing</x:v>
      </x:c>
      <x:c r="D34" s="26" t="str">
        <x:v>Medium</x:v>
      </x:c>
      <x:c r="E34" s="26" t="str">
        <x:v>Active</x:v>
      </x:c>
      <x:c r="F34" s="26" t="str">
        <x:v>P8 high; client wants access after remarriage only if prenup/postnup protects deceased spouse share.</x:v>
      </x:c>
      <x:c r="G34" s="26" t="str">
        <x:v>Recommend Remarriage 3.</x:v>
      </x:c>
      <x:c r="H34" s="26" t="str">
        <x:v>EP-LTP</x:v>
      </x:c>
      <x:c r="I34" s="26" t="str">
        <x:v>EP-LTP.RM.3</x:v>
      </x:c>
      <x:c r="J34" s="26" t="str">
        <x:v>Married track</x:v>
      </x:c>
      <x:c r="K34" s="26" t="str">
        <x:v>Conditional</x:v>
      </x:c>
      <x:c r="L34" s="26" t="str">
        <x:v>Agreement review/approval process required.</x:v>
      </x:c>
      <x:c r="M34" s="26" t="str">
        <x:v>Prenup-gated remarriage protection.</x:v>
      </x:c>
    </x:row>
    <x:row r="35">
      <x:c r="A35" s="26" t="str">
        <x:v>ROUTE-031</x:v>
      </x:c>
      <x:c r="B35" s="26" t="str">
        <x:v>Layer 2 - Priority/Scenario</x:v>
      </x:c>
      <x:c r="C35" s="26" t="str">
        <x:v>Routing</x:v>
      </x:c>
      <x:c r="D35" s="26" t="str">
        <x:v>High</x:v>
      </x:c>
      <x:c r="E35" s="26" t="str">
        <x:v>Active</x:v>
      </x:c>
      <x:c r="F35" s="26" t="str">
        <x:v>Minor children and guardianship/trust planning dominate; no immediate need for RLT or APP.</x:v>
      </x:c>
      <x:c r="G35" s="26" t="str">
        <x:v>Recommend Young Family Plan.</x:v>
      </x:c>
      <x:c r="H35" s="26" t="str">
        <x:v>EP-YFP</x:v>
      </x:c>
      <x:c r="I35" s="26" t="str">
        <x:v>Young Family Baseline</x:v>
      </x:c>
      <x:c r="J35" s="26" t="str">
        <x:v>Young Family track</x:v>
      </x:c>
      <x:c r="K35" s="26" t="str">
        <x:v>Conditional</x:v>
      </x:c>
      <x:c r="L35" s="26" t="str">
        <x:v>RLT may still be appropriate if probate avoidance/real estate/complexity present.</x:v>
      </x:c>
      <x:c r="M35" s="26" t="str">
        <x:v>Guardian designation required.</x:v>
      </x:c>
    </x:row>
    <x:row r="36">
      <x:c r="A36" s="26" t="str">
        <x:v>ROUTE-032</x:v>
      </x:c>
      <x:c r="B36" s="26" t="str">
        <x:v>Layer 2 - Priority/Scenario</x:v>
      </x:c>
      <x:c r="C36" s="26" t="str">
        <x:v>Routing</x:v>
      </x:c>
      <x:c r="D36" s="26" t="str">
        <x:v>High</x:v>
      </x:c>
      <x:c r="E36" s="26" t="str">
        <x:v>Active</x:v>
      </x:c>
      <x:c r="F36" s="26" t="str">
        <x:v>P20 high; client wants MAPT plus RLT and ancillary documents.</x:v>
      </x:c>
      <x:c r="G36" s="26" t="str">
        <x:v>Recommend EP-APP.1 MAPT + RLT Asset Protection Plan.</x:v>
      </x:c>
      <x:c r="H36" s="26" t="str">
        <x:v>EP-APP</x:v>
      </x:c>
      <x:c r="I36" s="26" t="str">
        <x:v>EP-APP.1</x:v>
      </x:c>
      <x:c r="J36" s="26" t="str">
        <x:v>Asset Protection Plan track</x:v>
      </x:c>
      <x:c r="K36" s="26" t="str">
        <x:v>Yes</x:v>
      </x:c>
      <x:c r="L36" s="26" t="str">
        <x:v>Exclude AIP scenarios.</x:v>
      </x:c>
      <x:c r="M36" s="26" t="str">
        <x:v>MAPT fiduciary and funding modules required.</x:v>
      </x:c>
    </x:row>
    <x:row r="37">
      <x:c r="A37" s="26" t="str">
        <x:v>ROUTE-033</x:v>
      </x:c>
      <x:c r="B37" s="26" t="str">
        <x:v>Layer 2 - Priority/Scenario</x:v>
      </x:c>
      <x:c r="C37" s="26" t="str">
        <x:v>Routing</x:v>
      </x:c>
      <x:c r="D37" s="26" t="str">
        <x:v>High</x:v>
      </x:c>
      <x:c r="E37" s="26" t="str">
        <x:v>Active</x:v>
      </x:c>
      <x:c r="F37" s="26" t="str">
        <x:v>P20 high; client wants MAPT-only design without full RLT-centered plan.</x:v>
      </x:c>
      <x:c r="G37" s="26" t="str">
        <x:v>Recommend EP-APP.2 MAPT-Only Asset Protection Plan.</x:v>
      </x:c>
      <x:c r="H37" s="26" t="str">
        <x:v>EP-APP</x:v>
      </x:c>
      <x:c r="I37" s="26" t="str">
        <x:v>EP-APP.2</x:v>
      </x:c>
      <x:c r="J37" s="26" t="str">
        <x:v>Asset Protection Plan track</x:v>
      </x:c>
      <x:c r="K37" s="26" t="str">
        <x:v>Yes</x:v>
      </x:c>
      <x:c r="L37" s="26" t="str">
        <x:v>Exclude AIP scenarios.</x:v>
      </x:c>
      <x:c r="M37" s="26" t="str">
        <x:v>Requires MAPT funding module.</x:v>
      </x:c>
    </x:row>
    <x:row r="38">
      <x:c r="A38" s="26" t="str">
        <x:v>ROUTE-034</x:v>
      </x:c>
      <x:c r="B38" s="26" t="str">
        <x:v>Layer 2 - Priority/Scenario</x:v>
      </x:c>
      <x:c r="C38" s="26" t="str">
        <x:v>Exclusion</x:v>
      </x:c>
      <x:c r="D38" s="26" t="str">
        <x:v>Critical</x:v>
      </x:c>
      <x:c r="E38" s="26" t="str">
        <x:v>Active</x:v>
      </x:c>
      <x:c r="F38" s="26" t="str">
        <x:v>Client prioritizes next-generation asset preservation over using assets for own care or spouse care.</x:v>
      </x:c>
      <x:c r="G38" s="26" t="str">
        <x:v>Do not recommend EP-AIP; route to EP-APP or senior review depending desired mechanism.</x:v>
      </x:c>
      <x:c r="H38" s="26" t="str">
        <x:v>EP-APP</x:v>
      </x:c>
      <x:c r="I38" s="26" t="str">
        <x:v>APP-1 or APP-2</x:v>
      </x:c>
      <x:c r="J38" s="26" t="str">
        <x:v>Asset Protection Plan track</x:v>
      </x:c>
      <x:c r="K38" s="26" t="str">
        <x:v>Conditional</x:v>
      </x:c>
      <x:c r="L38" s="26" t="str">
        <x:v>AIP excluded.</x:v>
      </x:c>
      <x:c r="M38" s="26" t="str">
        <x:v>AIP is care-spending; APP/MAPT is preservation for next generation.</x:v>
      </x:c>
    </x:row>
    <x:row r="39">
      <x:c r="A39" s="26" t="str">
        <x:v>ROUTE-035</x:v>
      </x:c>
      <x:c r="B39" s="26" t="str">
        <x:v>Layer 2 - Priority/Scenario</x:v>
      </x:c>
      <x:c r="C39" s="26" t="str">
        <x:v>Exclusion</x:v>
      </x:c>
      <x:c r="D39" s="26" t="str">
        <x:v>High</x:v>
      </x:c>
      <x:c r="E39" s="26" t="str">
        <x:v>Active</x:v>
      </x:c>
      <x:c r="F39" s="26" t="str">
        <x:v>Single client and EP-AIP.2 Hybrid is suggested by points.</x:v>
      </x:c>
      <x:c r="G39" s="26" t="str">
        <x:v>Exclude EP-AIP.2; select AIP.0, AIP.1, EP-APP, or attorney review instead.</x:v>
      </x:c>
      <x:c r="H39" s="26" t="str">
        <x:v>EP-LTP</x:v>
      </x:c>
      <x:c r="I39" s="26" t="str">
        <x:v>Not EP-AIP.2</x:v>
      </x:c>
      <x:c r="J39" s="26" t="str">
        <x:v>Single track</x:v>
      </x:c>
      <x:c r="K39" s="26" t="str">
        <x:v>Conditional</x:v>
      </x:c>
      <x:c r="L39" s="26" t="str">
        <x:v>AIP.2 excluded for single client.</x:v>
      </x:c>
      <x:c r="M39" s="26" t="str">
        <x:v>AIP.2 is married/spouse-focused.</x:v>
      </x:c>
    </x:row>
    <x:row r="40">
      <x:c r="A40" s="26" t="str">
        <x:v>ROUTE-036</x:v>
      </x:c>
      <x:c r="B40" s="26" t="str">
        <x:v>Layer 2 - Priority/Scenario</x:v>
      </x:c>
      <x:c r="C40" s="26" t="str">
        <x:v>Conflict</x:v>
      </x:c>
      <x:c r="D40" s="26" t="str">
        <x:v>High</x:v>
      </x:c>
      <x:c r="E40" s="26" t="str">
        <x:v>Active</x:v>
      </x:c>
      <x:c r="F40" s="26" t="str">
        <x:v>Client requests complete survivor control and also wants final beneficiaries locked in at first death.</x:v>
      </x:c>
      <x:c r="G40" s="26" t="str">
        <x:v>Flag design tension for attorney confirmation.</x:v>
      </x:c>
      <x:c r="H40" s="26" t="str">
        <x:v>EP-LTP</x:v>
      </x:c>
      <x:c r="I40" s="26" t="str">
        <x:v>TBD</x:v>
      </x:c>
      <x:c r="J40" s="26" t="str">
        <x:v>Married track</x:v>
      </x:c>
      <x:c r="K40" s="26" t="str">
        <x:v>Conditional</x:v>
      </x:c>
      <x:c r="L40" s="26" t="str">
        <x:v>Control vs lock-in conflict.</x:v>
      </x:c>
      <x:c r="M40" s="26" t="str">
        <x:v>Layer 4 must resolve.</x:v>
      </x:c>
    </x:row>
    <x:row r="41">
      <x:c r="A41" s="26" t="str">
        <x:v>ROUTE-037</x:v>
      </x:c>
      <x:c r="B41" s="26" t="str">
        <x:v>Layer 2 - Priority/Scenario</x:v>
      </x:c>
      <x:c r="C41" s="26" t="str">
        <x:v>Conflict</x:v>
      </x:c>
      <x:c r="D41" s="26" t="str">
        <x:v>High</x:v>
      </x:c>
      <x:c r="E41" s="26" t="str">
        <x:v>Active</x:v>
      </x:c>
      <x:c r="F41" s="26" t="str">
        <x:v>Client wants broad survivor control but also strong remarriage protection.</x:v>
      </x:c>
      <x:c r="G41" s="26" t="str">
        <x:v>Flag design tension; present model 50/50 remarriage protection.</x:v>
      </x:c>
      <x:c r="H41" s="26" t="str">
        <x:v>EP-LTP</x:v>
      </x:c>
      <x:c r="I41" s="26" t="str">
        <x:v>RM or A/B possible</x:v>
      </x:c>
      <x:c r="J41" s="26" t="str">
        <x:v>Married track</x:v>
      </x:c>
      <x:c r="K41" s="26" t="str">
        <x:v>Conditional</x:v>
      </x:c>
      <x:c r="L41" s="26" t="str">
        <x:v>Control vs guardrail conflict.</x:v>
      </x:c>
      <x:c r="M41" s="26" t="str">
        <x:v>Use model before asking detailed alternatives.</x:v>
      </x:c>
    </x:row>
    <x:row r="42">
      <x:c r="A42" s="26" t="str">
        <x:v>ROUTE-038</x:v>
      </x:c>
      <x:c r="B42" s="26" t="str">
        <x:v>Layer 2 - Priority/Scenario</x:v>
      </x:c>
      <x:c r="C42" s="26" t="str">
        <x:v>Conflict</x:v>
      </x:c>
      <x:c r="D42" s="26" t="str">
        <x:v>High</x:v>
      </x:c>
      <x:c r="E42" s="26" t="str">
        <x:v>Active</x:v>
      </x:c>
      <x:c r="F42" s="26" t="str">
        <x:v>Client authorizes POA gifting/self-dealing crisis powers but rejects comparable trust crisis powers, or vice versa.</x:v>
      </x:c>
      <x:c r="G42" s="26" t="str">
        <x:v>Flag crisis-powers mismatch for confirmation.</x:v>
      </x:c>
      <x:c r="H42" s="26" t="str">
        <x:v>Current plan retained</x:v>
      </x:c>
      <x:c r="I42" s="26" t="str">
        <x:v>TBD</x:v>
      </x:c>
      <x:c r="J42" s="26" t="str">
        <x:v>Current track retained</x:v>
      </x:c>
      <x:c r="K42" s="26" t="str">
        <x:v>Conditional</x:v>
      </x:c>
      <x:c r="L42" s="26" t="str">
        <x:v>Inconsistent fiduciary powers.</x:v>
      </x:c>
      <x:c r="M42" s="26" t="str">
        <x:v>Required cross-check.</x:v>
      </x:c>
    </x:row>
    <x:row r="43">
      <x:c r="A43" s="26" t="str">
        <x:v>ROUTE-039</x:v>
      </x:c>
      <x:c r="B43" s="26" t="str">
        <x:v>Layer 3 - Clause/Drafting</x:v>
      </x:c>
      <x:c r="C43" s="26" t="str">
        <x:v>Clause Trigger</x:v>
      </x:c>
      <x:c r="D43" s="26" t="str">
        <x:v>High</x:v>
      </x:c>
      <x:c r="E43" s="26" t="str">
        <x:v>Active</x:v>
      </x:c>
      <x:c r="F43" s="26" t="str">
        <x:v>Forced 100% SS-SNT selected.</x:v>
      </x:c>
      <x:c r="G43" s="26" t="str">
        <x:v>Trigger forced SS-SNT first-death funding package and related RLT clauses.</x:v>
      </x:c>
      <x:c r="H43" s="26" t="str">
        <x:v>EP-LTP</x:v>
      </x:c>
      <x:c r="I43" s="26" t="str">
        <x:v>EP-LTP.SS-SNT.1</x:v>
      </x:c>
      <x:c r="J43" s="26" t="str">
        <x:v>Married track</x:v>
      </x:c>
      <x:c r="K43" s="26" t="str">
        <x:v>Conditional</x:v>
      </x:c>
      <x:c r="L43" s="26" t="str">
        <x:v>Conflicts with full survivor control.</x:v>
      </x:c>
      <x:c r="M43" s="26" t="str">
        <x:v>Clause status may be placeholder or legacy crosswalk until approved.</x:v>
      </x:c>
    </x:row>
    <x:row r="44">
      <x:c r="A44" s="26" t="str">
        <x:v>ROUTE-040</x:v>
      </x:c>
      <x:c r="B44" s="26" t="str">
        <x:v>Layer 3 - Clause/Drafting</x:v>
      </x:c>
      <x:c r="C44" s="26" t="str">
        <x:v>Clause Trigger</x:v>
      </x:c>
      <x:c r="D44" s="26" t="str">
        <x:v>High</x:v>
      </x:c>
      <x:c r="E44" s="26" t="str">
        <x:v>Active</x:v>
      </x:c>
      <x:c r="F44" s="26" t="str">
        <x:v>Conditional 100% SS-SNT selected.</x:v>
      </x:c>
      <x:c r="G44" s="26" t="str">
        <x:v>Trigger conditional SS-SNT package with trustee determination authority and condition definitions.</x:v>
      </x:c>
      <x:c r="H44" s="26" t="str">
        <x:v>EP-LTP</x:v>
      </x:c>
      <x:c r="I44" s="26" t="str">
        <x:v>EP-LTP.SS-SNT.2</x:v>
      </x:c>
      <x:c r="J44" s="26" t="str">
        <x:v>Married track</x:v>
      </x:c>
      <x:c r="K44" s="26" t="str">
        <x:v>Conditional</x:v>
      </x:c>
      <x:c r="L44" s="26" t="str">
        <x:v>Condition ambiguity risk.</x:v>
      </x:c>
      <x:c r="M44" s="26" t="str">
        <x:v>Requires trigger condition fields.</x:v>
      </x:c>
    </x:row>
    <x:row r="45">
      <x:c r="A45" s="26" t="str">
        <x:v>ROUTE-041</x:v>
      </x:c>
      <x:c r="B45" s="26" t="str">
        <x:v>Layer 3 - Clause/Drafting</x:v>
      </x:c>
      <x:c r="C45" s="26" t="str">
        <x:v>Clause Trigger</x:v>
      </x:c>
      <x:c r="D45" s="26" t="str">
        <x:v>Medium</x:v>
      </x:c>
      <x:c r="E45" s="26" t="str">
        <x:v>Active</x:v>
      </x:c>
      <x:c r="F45" s="26" t="str">
        <x:v>EP-AIP.0 selected.</x:v>
      </x:c>
      <x:c r="G45" s="26" t="str">
        <x:v>Trigger strong home-care mandate / anti-institutional-placement language.</x:v>
      </x:c>
      <x:c r="H45" s="26" t="str">
        <x:v>EP-LTP</x:v>
      </x:c>
      <x:c r="I45" s="26" t="str">
        <x:v>EP-AIP.0</x:v>
      </x:c>
      <x:c r="J45" s="26" t="str">
        <x:v>Current track retained</x:v>
      </x:c>
      <x:c r="K45" s="26" t="str">
        <x:v>Conditional</x:v>
      </x:c>
      <x:c r="L45" s="26" t="str">
        <x:v>Cannot include MAPT.</x:v>
      </x:c>
      <x:c r="M45" s="26" t="str">
        <x:v>Confirm exceptions if home care medically or legally impossible.</x:v>
      </x:c>
    </x:row>
    <x:row r="46">
      <x:c r="A46" s="26" t="str">
        <x:v>ROUTE-042</x:v>
      </x:c>
      <x:c r="B46" s="26" t="str">
        <x:v>Layer 3 - Clause/Drafting</x:v>
      </x:c>
      <x:c r="C46" s="26" t="str">
        <x:v>Clause Trigger</x:v>
      </x:c>
      <x:c r="D46" s="26" t="str">
        <x:v>Medium</x:v>
      </x:c>
      <x:c r="E46" s="26" t="str">
        <x:v>Active</x:v>
      </x:c>
      <x:c r="F46" s="26" t="str">
        <x:v>EP-AIP.1 selected.</x:v>
      </x:c>
      <x:c r="G46" s="26" t="str">
        <x:v>Trigger home-first, best-comfort-care distribution standard.</x:v>
      </x:c>
      <x:c r="H46" s="26" t="str">
        <x:v>EP-LTP</x:v>
      </x:c>
      <x:c r="I46" s="26" t="str">
        <x:v>EP-AIP.1</x:v>
      </x:c>
      <x:c r="J46" s="26" t="str">
        <x:v>Current track retained</x:v>
      </x:c>
      <x:c r="K46" s="26" t="str">
        <x:v>Conditional</x:v>
      </x:c>
      <x:c r="L46" s="26" t="str">
        <x:v>Cannot include MAPT.</x:v>
      </x:c>
      <x:c r="M46" s="26" t="str">
        <x:v>Private room, companion care, supplemental care language.</x:v>
      </x:c>
    </x:row>
    <x:row r="47">
      <x:c r="A47" s="26" t="str">
        <x:v>ROUTE-043</x:v>
      </x:c>
      <x:c r="B47" s="26" t="str">
        <x:v>Layer 3 - Clause/Drafting</x:v>
      </x:c>
      <x:c r="C47" s="26" t="str">
        <x:v>Clause Trigger</x:v>
      </x:c>
      <x:c r="D47" s="26" t="str">
        <x:v>Medium</x:v>
      </x:c>
      <x:c r="E47" s="26" t="str">
        <x:v>Active</x:v>
      </x:c>
      <x:c r="F47" s="26" t="str">
        <x:v>EP-AIP.2 selected.</x:v>
      </x:c>
      <x:c r="G47" s="26" t="str">
        <x:v>Trigger spouse-focused revocable crisis powers and care-spending language.</x:v>
      </x:c>
      <x:c r="H47" s="26" t="str">
        <x:v>EP-LTP</x:v>
      </x:c>
      <x:c r="I47" s="26" t="str">
        <x:v>EP-AIP.2</x:v>
      </x:c>
      <x:c r="J47" s="26" t="str">
        <x:v>Married track</x:v>
      </x:c>
      <x:c r="K47" s="26" t="str">
        <x:v>Conditional</x:v>
      </x:c>
      <x:c r="L47" s="26" t="str">
        <x:v>Cannot include MAPT; not for single clients.</x:v>
      </x:c>
      <x:c r="M47" s="26" t="str">
        <x:v>Crisis powers primarily for spouse/community spouse.</x:v>
      </x:c>
    </x:row>
    <x:row r="48">
      <x:c r="A48" s="26" t="str">
        <x:v>ROUTE-044</x:v>
      </x:c>
      <x:c r="B48" s="26" t="str">
        <x:v>Layer 3 - Clause/Drafting</x:v>
      </x:c>
      <x:c r="C48" s="26" t="str">
        <x:v>Clause Trigger</x:v>
      </x:c>
      <x:c r="D48" s="26" t="str">
        <x:v>Medium</x:v>
      </x:c>
      <x:c r="E48" s="26" t="str">
        <x:v>Active</x:v>
      </x:c>
      <x:c r="F48" s="26" t="str">
        <x:v>Beneficiary receives or may need government benefits or has disability/public-benefits concern.</x:v>
      </x:c>
      <x:c r="G48" s="26" t="str">
        <x:v>Trigger descendant supplemental needs trust review and SNT provisions.</x:v>
      </x:c>
      <x:c r="H48" s="26" t="str">
        <x:v>Current plan retained</x:v>
      </x:c>
      <x:c r="I48" s="26" t="str">
        <x:v>SNT path</x:v>
      </x:c>
      <x:c r="J48" s="26" t="str">
        <x:v>Current track retained</x:v>
      </x:c>
      <x:c r="K48" s="26" t="str">
        <x:v>Yes</x:v>
      </x:c>
      <x:c r="L48" s="26" t="str">
        <x:v>Outright/BCT may be unsafe.</x:v>
      </x:c>
      <x:c r="M48" s="26" t="str">
        <x:v>P18 controls.</x:v>
      </x:c>
    </x:row>
    <x:row r="49">
      <x:c r="A49" s="26" t="str">
        <x:v>ROUTE-045</x:v>
      </x:c>
      <x:c r="B49" s="26" t="str">
        <x:v>Layer 3 - Clause/Drafting</x:v>
      </x:c>
      <x:c r="C49" s="26" t="str">
        <x:v>Clause Trigger</x:v>
      </x:c>
      <x:c r="D49" s="26" t="str">
        <x:v>Medium</x:v>
      </x:c>
      <x:c r="E49" s="26" t="str">
        <x:v>Active</x:v>
      </x:c>
      <x:c r="F49" s="26" t="str">
        <x:v>Beneficiary has addiction, dependency, creditor, divorce, litigation, instability, or poor judgment concern.</x:v>
      </x:c>
      <x:c r="G49" s="26" t="str">
        <x:v>Trigger non-beneficiary-controlled protective trust review.</x:v>
      </x:c>
      <x:c r="H49" s="26" t="str">
        <x:v>Current plan retained</x:v>
      </x:c>
      <x:c r="I49" s="26" t="str">
        <x:v>Protective trust path</x:v>
      </x:c>
      <x:c r="J49" s="26" t="str">
        <x:v>Current track retained</x:v>
      </x:c>
      <x:c r="K49" s="26" t="str">
        <x:v>Conditional</x:v>
      </x:c>
      <x:c r="L49" s="26" t="str">
        <x:v>BCT may be unsafe.</x:v>
      </x:c>
      <x:c r="M49" s="26" t="str">
        <x:v>P12 controls.</x:v>
      </x:c>
    </x:row>
    <x:row r="50">
      <x:c r="A50" s="26" t="str">
        <x:v>ROUTE-046</x:v>
      </x:c>
      <x:c r="B50" s="26" t="str">
        <x:v>Layer 3 - Clause/Drafting</x:v>
      </x:c>
      <x:c r="C50" s="26" t="str">
        <x:v>Clause Trigger</x:v>
      </x:c>
      <x:c r="D50" s="26" t="str">
        <x:v>Medium</x:v>
      </x:c>
      <x:c r="E50" s="26" t="str">
        <x:v>Active</x:v>
      </x:c>
      <x:c r="F50" s="26" t="str">
        <x:v>Client selects beneficiary-controlled trust for competent adult child.</x:v>
      </x:c>
      <x:c r="G50" s="26" t="str">
        <x:v>Trigger standard BCT descendant trust package.</x:v>
      </x:c>
      <x:c r="H50" s="26" t="str">
        <x:v>Current plan retained</x:v>
      </x:c>
      <x:c r="I50" s="26" t="str">
        <x:v>BCT path</x:v>
      </x:c>
      <x:c r="J50" s="26" t="str">
        <x:v>Current track retained</x:v>
      </x:c>
      <x:c r="K50" s="26" t="str">
        <x:v>No</x:v>
      </x:c>
      <x:c r="L50" s="26" t="str">
        <x:v>Exclude if beneficiary-specific concerns override.</x:v>
      </x:c>
      <x:c r="M50" s="26" t="str">
        <x:v>Stated age and power of appointment required.</x:v>
      </x:c>
    </x:row>
    <x:row r="51">
      <x:c r="A51" s="26" t="str">
        <x:v>ROUTE-047</x:v>
      </x:c>
      <x:c r="B51" s="26" t="str">
        <x:v>Layer 3 - Clause/Drafting</x:v>
      </x:c>
      <x:c r="C51" s="26" t="str">
        <x:v>Clause Trigger</x:v>
      </x:c>
      <x:c r="D51" s="26" t="str">
        <x:v>Medium</x:v>
      </x:c>
      <x:c r="E51" s="26" t="str">
        <x:v>Active</x:v>
      </x:c>
      <x:c r="F51" s="26" t="str">
        <x:v>Specific cash gift selected.</x:v>
      </x:c>
      <x:c r="G51" s="26" t="str">
        <x:v>Trigger specific cash gift clause and gift priority/lapse/fallback fields.</x:v>
      </x:c>
      <x:c r="H51" s="26" t="str">
        <x:v>Current plan retained</x:v>
      </x:c>
      <x:c r="I51" s="26" t="str">
        <x:v>TBD</x:v>
      </x:c>
      <x:c r="J51" s="26" t="str">
        <x:v>Current track retained</x:v>
      </x:c>
      <x:c r="K51" s="26" t="str">
        <x:v>Conditional</x:v>
      </x:c>
      <x:c r="L51" s="26" t="str">
        <x:v>May distort remainder distribution.</x:v>
      </x:c>
      <x:c r="M51" s="26" t="str">
        <x:v>Confirm fixed gift vs remainder percentage.</x:v>
      </x:c>
    </x:row>
    <x:row r="52">
      <x:c r="A52" s="26" t="str">
        <x:v>ROUTE-048</x:v>
      </x:c>
      <x:c r="B52" s="26" t="str">
        <x:v>Layer 3 - Clause/Drafting</x:v>
      </x:c>
      <x:c r="C52" s="26" t="str">
        <x:v>Clause Trigger</x:v>
      </x:c>
      <x:c r="D52" s="26" t="str">
        <x:v>Medium</x:v>
      </x:c>
      <x:c r="E52" s="26" t="str">
        <x:v>Active</x:v>
      </x:c>
      <x:c r="F52" s="26" t="str">
        <x:v>Personal property memorandum selected.</x:v>
      </x:c>
      <x:c r="G52" s="26" t="str">
        <x:v>Include personal property memorandum authority.</x:v>
      </x:c>
      <x:c r="H52" s="26" t="str">
        <x:v>Current plan retained</x:v>
      </x:c>
      <x:c r="I52" s="26" t="str">
        <x:v>TBD</x:v>
      </x:c>
      <x:c r="J52" s="26" t="str">
        <x:v>Current track retained</x:v>
      </x:c>
      <x:c r="K52" s="26" t="str">
        <x:v>No</x:v>
      </x:c>
      <x:c r="L52" s="26" t="str">
        <x:v>Not for cash, real estate, accounts, retirement, life insurance, or percentage shares.</x:v>
      </x:c>
      <x:c r="M52" s="26" t="str">
        <x:v>Use for tangible personal property only.</x:v>
      </x:c>
    </x:row>
    <x:row r="53">
      <x:c r="A53" s="26" t="str">
        <x:v>ROUTE-049</x:v>
      </x:c>
      <x:c r="B53" s="26" t="str">
        <x:v>Layer 3 - Clause/Drafting</x:v>
      </x:c>
      <x:c r="C53" s="26" t="str">
        <x:v>Clause Trigger</x:v>
      </x:c>
      <x:c r="D53" s="26" t="str">
        <x:v>High</x:v>
      </x:c>
      <x:c r="E53" s="26" t="str">
        <x:v>Active</x:v>
      </x:c>
      <x:c r="F53" s="26" t="str">
        <x:v>Real estate special instruction, occupancy, buyout, family camp, right of first refusal, or equalization issue identified.</x:v>
      </x:c>
      <x:c r="G53" s="26" t="str">
        <x:v>Trigger real estate special asset module and equalization review.</x:v>
      </x:c>
      <x:c r="H53" s="26" t="str">
        <x:v>Current plan retained</x:v>
      </x:c>
      <x:c r="I53" s="26" t="str">
        <x:v>TBD</x:v>
      </x:c>
      <x:c r="J53" s="26" t="str">
        <x:v>Current track retained</x:v>
      </x:c>
      <x:c r="K53" s="26" t="str">
        <x:v>Conditional</x:v>
      </x:c>
      <x:c r="L53" s="26" t="str">
        <x:v>Unclear equalization can create conflict.</x:v>
      </x:c>
      <x:c r="M53" s="26" t="str">
        <x:v>Senior review if complex or ongoing structure requested.</x:v>
      </x:c>
    </x:row>
    <x:row r="54">
      <x:c r="A54" s="26" t="str">
        <x:v>ROUTE-050</x:v>
      </x:c>
      <x:c r="B54" s="26" t="str">
        <x:v>Layer 3 - Clause/Drafting</x:v>
      </x:c>
      <x:c r="C54" s="26" t="str">
        <x:v>Clause Trigger</x:v>
      </x:c>
      <x:c r="D54" s="26" t="str">
        <x:v>High</x:v>
      </x:c>
      <x:c r="E54" s="26" t="str">
        <x:v>Active</x:v>
      </x:c>
      <x:c r="F54" s="26" t="str">
        <x:v>Firearms or possible NFA-regulated item identified.</x:v>
      </x:c>
      <x:c r="G54" s="26" t="str">
        <x:v>Trigger firearms review and possible gun trust/senior review.</x:v>
      </x:c>
      <x:c r="H54" s="26" t="str">
        <x:v>Current plan retained</x:v>
      </x:c>
      <x:c r="I54" s="26" t="str">
        <x:v>TBD</x:v>
      </x:c>
      <x:c r="J54" s="26" t="str">
        <x:v>Current track retained</x:v>
      </x:c>
      <x:c r="K54" s="26" t="str">
        <x:v>Yes</x:v>
      </x:c>
      <x:c r="L54" s="26" t="str">
        <x:v>Do not draft direct firearm transfer until reviewed if concern exists.</x:v>
      </x:c>
      <x:c r="M54" s="26" t="str">
        <x:v>Capture beneficiary eligibility and jurisdiction.</x:v>
      </x:c>
    </x:row>
    <x:row r="55">
      <x:c r="A55" s="26" t="str">
        <x:v>ROUTE-051</x:v>
      </x:c>
      <x:c r="B55" s="26" t="str">
        <x:v>Layer 3 - Clause/Drafting</x:v>
      </x:c>
      <x:c r="C55" s="26" t="str">
        <x:v>Clause Trigger</x:v>
      </x:c>
      <x:c r="D55" s="26" t="str">
        <x:v>High</x:v>
      </x:c>
      <x:c r="E55" s="26" t="str">
        <x:v>Active</x:v>
      </x:c>
      <x:c r="F55" s="26" t="str">
        <x:v>Business, farm, LLC, partnership, rental entity, or buy-sell agreement identified.</x:v>
      </x:c>
      <x:c r="G55" s="26" t="str">
        <x:v>Trigger business/entity special asset review.</x:v>
      </x:c>
      <x:c r="H55" s="26" t="str">
        <x:v>Current plan retained</x:v>
      </x:c>
      <x:c r="I55" s="26" t="str">
        <x:v>TBD</x:v>
      </x:c>
      <x:c r="J55" s="26" t="str">
        <x:v>Current track retained</x:v>
      </x:c>
      <x:c r="K55" s="26" t="str">
        <x:v>Yes</x:v>
      </x:c>
      <x:c r="L55" s="26" t="str">
        <x:v>Business succession can exceed standard plan.</x:v>
      </x:c>
      <x:c r="M55" s="26" t="str">
        <x:v>Potential separate engagement.</x:v>
      </x:c>
    </x:row>
    <x:row r="56">
      <x:c r="A56" s="26" t="str">
        <x:v>ROUTE-052</x:v>
      </x:c>
      <x:c r="B56" s="26" t="str">
        <x:v>Layer 3 - Clause/Drafting</x:v>
      </x:c>
      <x:c r="C56" s="26" t="str">
        <x:v>Clause Trigger</x:v>
      </x:c>
      <x:c r="D56" s="26" t="str">
        <x:v>Medium</x:v>
      </x:c>
      <x:c r="E56" s="26" t="str">
        <x:v>Active</x:v>
      </x:c>
      <x:c r="F56" s="26" t="str">
        <x:v>Trust Advisor Appointer accepted.</x:v>
      </x:c>
      <x:c r="G56" s="26" t="str">
        <x:v>Trigger Trust Advisor Appointer provisions.</x:v>
      </x:c>
      <x:c r="H56" s="26" t="str">
        <x:v>Current plan retained</x:v>
      </x:c>
      <x:c r="I56" s="26" t="str">
        <x:v>TBD</x:v>
      </x:c>
      <x:c r="J56" s="26" t="str">
        <x:v>Current track retained</x:v>
      </x:c>
      <x:c r="K56" s="26" t="str">
        <x:v>No</x:v>
      </x:c>
      <x:c r="L56" s="26" t="str">
        <x:v>Trust advisor must be independent.</x:v>
      </x:c>
      <x:c r="M56" s="26" t="str">
        <x:v>Record scope and removal powers.</x:v>
      </x:c>
    </x:row>
    <x:row r="57">
      <x:c r="A57" s="26" t="str">
        <x:v>ROUTE-053</x:v>
      </x:c>
      <x:c r="B57" s="26" t="str">
        <x:v>Layer 3 - Clause/Drafting</x:v>
      </x:c>
      <x:c r="C57" s="26" t="str">
        <x:v>Clause Trigger</x:v>
      </x:c>
      <x:c r="D57" s="26" t="str">
        <x:v>Medium</x:v>
      </x:c>
      <x:c r="E57" s="26" t="str">
        <x:v>Active</x:v>
      </x:c>
      <x:c r="F57" s="26" t="str">
        <x:v>Trust Advisor watchdog power selected.</x:v>
      </x:c>
      <x:c r="G57" s="26" t="str">
        <x:v>Trigger trustee removal/replacement authority provisions.</x:v>
      </x:c>
      <x:c r="H57" s="26" t="str">
        <x:v>Current plan retained</x:v>
      </x:c>
      <x:c r="I57" s="26" t="str">
        <x:v>TBD</x:v>
      </x:c>
      <x:c r="J57" s="26" t="str">
        <x:v>Current track retained</x:v>
      </x:c>
      <x:c r="K57" s="26" t="str">
        <x:v>Conditional</x:v>
      </x:c>
      <x:c r="L57" s="26" t="str">
        <x:v>May conflict with named child trustee preference.</x:v>
      </x:c>
      <x:c r="M57" s="26" t="str">
        <x:v>Record limits: named trustees, descendant trustees, professional trustees.</x:v>
      </x:c>
    </x:row>
    <x:row r="58">
      <x:c r="A58" s="26" t="str">
        <x:v>ROUTE-054</x:v>
      </x:c>
      <x:c r="B58" s="26" t="str">
        <x:v>Layer 3 - Clause/Drafting</x:v>
      </x:c>
      <x:c r="C58" s="26" t="str">
        <x:v>Clause Trigger</x:v>
      </x:c>
      <x:c r="D58" s="26" t="str">
        <x:v>High</x:v>
      </x:c>
      <x:c r="E58" s="26" t="str">
        <x:v>Active</x:v>
      </x:c>
      <x:c r="F58" s="26" t="str">
        <x:v>Beneficiary designation assets exist: IRA, 401(k), life insurance, annuity, TOD/POD, joint account.</x:v>
      </x:c>
      <x:c r="G58" s="26" t="str">
        <x:v>Trigger beneficiary designation coordination checklist.</x:v>
      </x:c>
      <x:c r="H58" s="26" t="str">
        <x:v>Current plan retained</x:v>
      </x:c>
      <x:c r="I58" s="26" t="str">
        <x:v>TBD</x:v>
      </x:c>
      <x:c r="J58" s="26" t="str">
        <x:v>Current track retained</x:v>
      </x:c>
      <x:c r="K58" s="26" t="str">
        <x:v>Conditional</x:v>
      </x:c>
      <x:c r="L58" s="26" t="str">
        <x:v>Beneficiary designations can defeat trust plan.</x:v>
      </x:c>
      <x:c r="M58" s="26" t="str">
        <x:v>Required before final handoff if asset is material.</x:v>
      </x:c>
    </x:row>
    <x:row r="59">
      <x:c r="A59" s="26" t="str">
        <x:v>ROUTE-055</x:v>
      </x:c>
      <x:c r="B59" s="26" t="str">
        <x:v>Layer 3 - Clause/Drafting</x:v>
      </x:c>
      <x:c r="C59" s="26" t="str">
        <x:v>QC</x:v>
      </x:c>
      <x:c r="D59" s="26" t="str">
        <x:v>High</x:v>
      </x:c>
      <x:c r="E59" s="26" t="str">
        <x:v>Active</x:v>
      </x:c>
      <x:c r="F59" s="26" t="str">
        <x:v>Specific gift or remainder design conflicts with beneficiary designation or title ownership.</x:v>
      </x:c>
      <x:c r="G59" s="26" t="str">
        <x:v>Flag conflict and require funding/beneficiary designation review.</x:v>
      </x:c>
      <x:c r="H59" s="26" t="str">
        <x:v>Current plan retained</x:v>
      </x:c>
      <x:c r="I59" s="26" t="str">
        <x:v>TBD</x:v>
      </x:c>
      <x:c r="J59" s="26" t="str">
        <x:v>Current track retained</x:v>
      </x:c>
      <x:c r="K59" s="26" t="str">
        <x:v>Conditional</x:v>
      </x:c>
      <x:c r="L59" s="26" t="str">
        <x:v>Document language may not control non-probate asset.</x:v>
      </x:c>
      <x:c r="M59" s="26" t="str">
        <x:v>Client homework or attorney review.</x:v>
      </x:c>
    </x:row>
    <x:row r="60">
      <x:c r="A60" s="26" t="str">
        <x:v>ROUTE-056</x:v>
      </x:c>
      <x:c r="B60" s="26" t="str">
        <x:v>Layer 3 - Clause/Drafting</x:v>
      </x:c>
      <x:c r="C60" s="26" t="str">
        <x:v>QC</x:v>
      </x:c>
      <x:c r="D60" s="26" t="str">
        <x:v>High</x:v>
      </x:c>
      <x:c r="E60" s="26" t="str">
        <x:v>Active</x:v>
      </x:c>
      <x:c r="F60" s="26" t="str">
        <x:v>Minor is named as trustee, POA agent, healthcare agent, PR, or guardian role requiring legal capacity.</x:v>
      </x:c>
      <x:c r="G60" s="26" t="str">
        <x:v>Flag invalid fiduciary nominee.</x:v>
      </x:c>
      <x:c r="H60" s="26" t="str">
        <x:v>Current plan retained</x:v>
      </x:c>
      <x:c r="I60" s="26" t="str">
        <x:v>TBD</x:v>
      </x:c>
      <x:c r="J60" s="26" t="str">
        <x:v>Current track retained</x:v>
      </x:c>
      <x:c r="K60" s="26" t="str">
        <x:v>Conditional</x:v>
      </x:c>
      <x:c r="L60" s="26" t="str">
        <x:v>Minor cannot serve in these roles.</x:v>
      </x:c>
      <x:c r="M60" s="26" t="str">
        <x:v>May allow provision to qualify at majority if appropriate.</x:v>
      </x:c>
    </x:row>
    <x:row r="61">
      <x:c r="A61" s="26" t="str">
        <x:v>ROUTE-057</x:v>
      </x:c>
      <x:c r="B61" s="26" t="str">
        <x:v>Layer 3 - Clause/Drafting</x:v>
      </x:c>
      <x:c r="C61" s="26" t="str">
        <x:v>QC</x:v>
      </x:c>
      <x:c r="D61" s="26" t="str">
        <x:v>High</x:v>
      </x:c>
      <x:c r="E61" s="26" t="str">
        <x:v>Active</x:v>
      </x:c>
      <x:c r="F61" s="26" t="str">
        <x:v>Fiduciary selections are inconsistent across trustee, POA, ADHC, HIPAA, PR, disability panel, or Trust Advisor roles.</x:v>
      </x:c>
      <x:c r="G61" s="26" t="str">
        <x:v>Trigger fiduciary consistency review.</x:v>
      </x:c>
      <x:c r="H61" s="26" t="str">
        <x:v>Current plan retained</x:v>
      </x:c>
      <x:c r="I61" s="26" t="str">
        <x:v>TBD</x:v>
      </x:c>
      <x:c r="J61" s="26" t="str">
        <x:v>Current track retained</x:v>
      </x:c>
      <x:c r="K61" s="26" t="str">
        <x:v>Conditional</x:v>
      </x:c>
      <x:c r="L61" s="26" t="str">
        <x:v>May indicate design error.</x:v>
      </x:c>
      <x:c r="M61" s="26" t="str">
        <x:v>Output to attorney confirmation.</x:v>
      </x:c>
    </x:row>
    <x:row r="62">
      <x:c r="A62" s="26" t="str">
        <x:v>ROUTE-058</x:v>
      </x:c>
      <x:c r="B62" s="26" t="str">
        <x:v>Layer 4 - Attorney Confirmation</x:v>
      </x:c>
      <x:c r="C62" s="26" t="str">
        <x:v>Hard Gate</x:v>
      </x:c>
      <x:c r="D62" s="26" t="str">
        <x:v>Critical</x:v>
      </x:c>
      <x:c r="E62" s="26" t="str">
        <x:v>Active</x:v>
      </x:c>
      <x:c r="F62" s="26" t="str">
        <x:v>Any Senior Review Flag = Yes or blocking QC issue exists.</x:v>
      </x:c>
      <x:c r="G62" s="26" t="str">
        <x:v>Do not mark Drafting Ready until attorney/senior attorney clears issue.</x:v>
      </x:c>
      <x:c r="H62" s="26" t="str">
        <x:v>Current plan retained</x:v>
      </x:c>
      <x:c r="I62" s="26" t="str">
        <x:v>Current scenario retained</x:v>
      </x:c>
      <x:c r="J62" s="26" t="str">
        <x:v>Current track retained</x:v>
      </x:c>
      <x:c r="K62" s="26" t="str">
        <x:v>Yes</x:v>
      </x:c>
      <x:c r="L62" s="26" t="str">
        <x:v>Drafting blocked.</x:v>
      </x:c>
      <x:c r="M62" s="26" t="str">
        <x:v>Layer 4 confirmation required.</x:v>
      </x:c>
    </x:row>
    <x:row r="63">
      <x:c r="A63" s="26" t="str">
        <x:v>ROUTE-059</x:v>
      </x:c>
      <x:c r="B63" s="26" t="str">
        <x:v>Layer 4 - Attorney Confirmation</x:v>
      </x:c>
      <x:c r="C63" s="26" t="str">
        <x:v>Hard Gate</x:v>
      </x:c>
      <x:c r="D63" s="26" t="str">
        <x:v>Critical</x:v>
      </x:c>
      <x:c r="E63" s="26" t="str">
        <x:v>Active</x:v>
      </x:c>
      <x:c r="F63" s="26" t="str">
        <x:v>Recommended plan/scenario differs from attorney-selected final plan/scenario.</x:v>
      </x:c>
      <x:c r="G63" s="26" t="str">
        <x:v>Require override reason and preserve original recommendation.</x:v>
      </x:c>
      <x:c r="H63" s="26" t="str">
        <x:v>Final attorney selection</x:v>
      </x:c>
      <x:c r="I63" s="26" t="str">
        <x:v>Final attorney selection</x:v>
      </x:c>
      <x:c r="J63" s="26" t="str">
        <x:v>Current track retained</x:v>
      </x:c>
      <x:c r="K63" s="26" t="str">
        <x:v>Conditional</x:v>
      </x:c>
      <x:c r="L63" s="26" t="str">
        <x:v>Scoring does not finalize legal design.</x:v>
      </x:c>
      <x:c r="M63" s="26" t="str">
        <x:v>Audit trail required.</x:v>
      </x:c>
    </x:row>
    <x:row r="64">
      <x:c r="A64" s="26" t="str">
        <x:v>ROUTE-060</x:v>
      </x:c>
      <x:c r="B64" s="26" t="str">
        <x:v>Layer 4 - Attorney Confirmation</x:v>
      </x:c>
      <x:c r="C64" s="26" t="str">
        <x:v>QC</x:v>
      </x:c>
      <x:c r="D64" s="26" t="str">
        <x:v>High</x:v>
      </x:c>
      <x:c r="E64" s="26" t="str">
        <x:v>Active</x:v>
      </x:c>
      <x:c r="F64" s="26" t="str">
        <x:v>Clause trigger exists but mapped clause status is Placeholder, Needs Drafting, Needs Renaming, or Needs Review.</x:v>
      </x:c>
      <x:c r="G64" s="26" t="str">
        <x:v>Flag clause not approved for automatic drafting.</x:v>
      </x:c>
      <x:c r="H64" s="26" t="str">
        <x:v>Current plan retained</x:v>
      </x:c>
      <x:c r="I64" s="26" t="str">
        <x:v>Current scenario retained</x:v>
      </x:c>
      <x:c r="J64" s="26" t="str">
        <x:v>Current track retained</x:v>
      </x:c>
      <x:c r="K64" s="26" t="str">
        <x:v>Conditional</x:v>
      </x:c>
      <x:c r="L64" s="26" t="str">
        <x:v>Legacy/placeholder clause cannot be treated as approved.</x:v>
      </x:c>
      <x:c r="M64" s="26" t="str">
        <x:v>Attorney must approve or mark custom drafting needed.</x:v>
      </x:c>
    </x:row>
    <x:row r="65">
      <x:c r="A65" s="26" t="str">
        <x:v>ROUTE-061</x:v>
      </x:c>
      <x:c r="B65" s="26" t="str">
        <x:v>Layer 4 - Attorney Confirmation</x:v>
      </x:c>
      <x:c r="C65" s="26" t="str">
        <x:v>QC</x:v>
      </x:c>
      <x:c r="D65" s="26" t="str">
        <x:v>High</x:v>
      </x:c>
      <x:c r="E65" s="26" t="str">
        <x:v>Active</x:v>
      </x:c>
      <x:c r="F65" s="26" t="str">
        <x:v>Required field missing for final selected scenario.</x:v>
      </x:c>
      <x:c r="G65" s="26" t="str">
        <x:v>Set matter to Incomplete / Homework or Attorney Review.</x:v>
      </x:c>
      <x:c r="H65" s="26" t="str">
        <x:v>Current plan retained</x:v>
      </x:c>
      <x:c r="I65" s="26" t="str">
        <x:v>Current scenario retained</x:v>
      </x:c>
      <x:c r="J65" s="26" t="str">
        <x:v>Current track retained</x:v>
      </x:c>
      <x:c r="K65" s="26" t="str">
        <x:v>Conditional</x:v>
      </x:c>
      <x:c r="L65" s="26" t="str">
        <x:v>Drafting not ready.</x:v>
      </x:c>
      <x:c r="M65" s="26" t="str">
        <x:v>Examples: trustee missing, condition missing, beneficiary shares missing.</x:v>
      </x:c>
    </x:row>
    <x:row r="66">
      <x:c r="A66" s="26" t="str">
        <x:v>ROUTE-062</x:v>
      </x:c>
      <x:c r="B66" s="26" t="str">
        <x:v>Layer 4 - Attorney Confirmation</x:v>
      </x:c>
      <x:c r="C66" s="26" t="str">
        <x:v>QC</x:v>
      </x:c>
      <x:c r="D66" s="26" t="str">
        <x:v>High</x:v>
      </x:c>
      <x:c r="E66" s="26" t="str">
        <x:v>Active</x:v>
      </x:c>
      <x:c r="F66" s="26" t="str">
        <x:v>Final plan is EP-APP and MAPT funding asset list is missing.</x:v>
      </x:c>
      <x:c r="G66" s="26" t="str">
        <x:v>Do not mark Drafting Ready.</x:v>
      </x:c>
      <x:c r="H66" s="26" t="str">
        <x:v>EP-APP</x:v>
      </x:c>
      <x:c r="I66" s="26" t="str">
        <x:v>APP-1 or APP-2</x:v>
      </x:c>
      <x:c r="J66" s="26" t="str">
        <x:v>Asset Protection Plan track</x:v>
      </x:c>
      <x:c r="K66" s="26" t="str">
        <x:v>Conditional</x:v>
      </x:c>
      <x:c r="L66" s="26" t="str">
        <x:v>MAPT funding incomplete.</x:v>
      </x:c>
      <x:c r="M66" s="26" t="str">
        <x:v>Asset transfer module required.</x:v>
      </x:c>
    </x:row>
    <x:row r="67">
      <x:c r="A67" s="26" t="str">
        <x:v>ROUTE-063</x:v>
      </x:c>
      <x:c r="B67" s="26" t="str">
        <x:v>Layer 4 - Attorney Confirmation</x:v>
      </x:c>
      <x:c r="C67" s="26" t="str">
        <x:v>QC</x:v>
      </x:c>
      <x:c r="D67" s="26" t="str">
        <x:v>Medium</x:v>
      </x:c>
      <x:c r="E67" s="26" t="str">
        <x:v>Active</x:v>
      </x:c>
      <x:c r="F67" s="26" t="str">
        <x:v>Final plan is EP-LTP and deed/funding issue exists for real estate intended to be trust-owned.</x:v>
      </x:c>
      <x:c r="G67" s="26" t="str">
        <x:v>Flag funding homework and deed preparation review.</x:v>
      </x:c>
      <x:c r="H67" s="26" t="str">
        <x:v>EP-LTP</x:v>
      </x:c>
      <x:c r="I67" s="26" t="str">
        <x:v>Current scenario retained</x:v>
      </x:c>
      <x:c r="J67" s="26" t="str">
        <x:v>Current track retained</x:v>
      </x:c>
      <x:c r="K67" s="26" t="str">
        <x:v>Conditional</x:v>
      </x:c>
      <x:c r="L67" s="26" t="str">
        <x:v>Trust funding incomplete.</x:v>
      </x:c>
      <x:c r="M67" s="26" t="str">
        <x:v>Does not always block document drafting but blocks funding completion.</x:v>
      </x:c>
    </x:row>
    <x:row r="68">
      <x:c r="A68" s="26" t="str">
        <x:v>ROUTE-064</x:v>
      </x:c>
      <x:c r="B68" s="26" t="str">
        <x:v>Layer 4 - Attorney Confirmation</x:v>
      </x:c>
      <x:c r="C68" s="26" t="str">
        <x:v>QC</x:v>
      </x:c>
      <x:c r="D68" s="26" t="str">
        <x:v>High</x:v>
      </x:c>
      <x:c r="E68" s="26" t="str">
        <x:v>Active</x:v>
      </x:c>
      <x:c r="F68" s="26" t="str">
        <x:v>Final scenario is SS-SNT forced/conditional and trustee for surviving spouse SNT is missing.</x:v>
      </x:c>
      <x:c r="G68" s="26" t="str">
        <x:v>Do not mark Drafting Ready.</x:v>
      </x:c>
      <x:c r="H68" s="26" t="str">
        <x:v>EP-LTP</x:v>
      </x:c>
      <x:c r="I68" s="26" t="str">
        <x:v>EP-LTP.SS-SNT.1/.2</x:v>
      </x:c>
      <x:c r="J68" s="26" t="str">
        <x:v>Married track</x:v>
      </x:c>
      <x:c r="K68" s="26" t="str">
        <x:v>Conditional</x:v>
      </x:c>
      <x:c r="L68" s="26" t="str">
        <x:v>SNT trustee missing.</x:v>
      </x:c>
      <x:c r="M68" s="26" t="str">
        <x:v>Required follow-up.</x:v>
      </x:c>
    </x:row>
    <x:row r="69">
      <x:c r="A69" s="26" t="str">
        <x:v>ROUTE-065</x:v>
      </x:c>
      <x:c r="B69" s="26" t="str">
        <x:v>Layer 4 - Attorney Confirmation</x:v>
      </x:c>
      <x:c r="C69" s="26" t="str">
        <x:v>QC</x:v>
      </x:c>
      <x:c r="D69" s="26" t="str">
        <x:v>High</x:v>
      </x:c>
      <x:c r="E69" s="26" t="str">
        <x:v>Active</x:v>
      </x:c>
      <x:c r="F69" s="26" t="str">
        <x:v>Remainder beneficiaries or substitution pattern unknown.</x:v>
      </x:c>
      <x:c r="G69" s="26" t="str">
        <x:v>Do not mark Drafting Ready.</x:v>
      </x:c>
      <x:c r="H69" s="26" t="str">
        <x:v>Current plan retained</x:v>
      </x:c>
      <x:c r="I69" s="26" t="str">
        <x:v>Current scenario retained</x:v>
      </x:c>
      <x:c r="J69" s="26" t="str">
        <x:v>Current track retained</x:v>
      </x:c>
      <x:c r="K69" s="26" t="str">
        <x:v>Conditional</x:v>
      </x:c>
      <x:c r="L69" s="26" t="str">
        <x:v>Dispositive plan incomplete.</x:v>
      </x:c>
      <x:c r="M69" s="26" t="str">
        <x:v>Must resolve Section 9/10 data.</x:v>
      </x:c>
    </x:row>
    <x:row r="70">
      <x:c r="A70" s="26" t="str">
        <x:v>ROUTE-066</x:v>
      </x:c>
      <x:c r="B70" s="26" t="str">
        <x:v>Layer 4 - Attorney Confirmation</x:v>
      </x:c>
      <x:c r="C70" s="26" t="str">
        <x:v>QC</x:v>
      </x:c>
      <x:c r="D70" s="26" t="str">
        <x:v>High</x:v>
      </x:c>
      <x:c r="E70" s="26" t="str">
        <x:v>Active</x:v>
      </x:c>
      <x:c r="F70" s="26" t="str">
        <x:v>Remote contingent beneficiary missing after non-standard family or no-descendants pattern.</x:v>
      </x:c>
      <x:c r="G70" s="26" t="str">
        <x:v>Flag incomplete remote contingent beneficiary.</x:v>
      </x:c>
      <x:c r="H70" s="26" t="str">
        <x:v>Current plan retained</x:v>
      </x:c>
      <x:c r="I70" s="26" t="str">
        <x:v>Current scenario retained</x:v>
      </x:c>
      <x:c r="J70" s="26" t="str">
        <x:v>Current track retained</x:v>
      </x:c>
      <x:c r="K70" s="26" t="str">
        <x:v>Conditional</x:v>
      </x:c>
      <x:c r="L70" s="26" t="str">
        <x:v>Intestacy risk.</x:v>
      </x:c>
      <x:c r="M70" s="26" t="str">
        <x:v>May be homework if otherwise acceptable.</x:v>
      </x:c>
    </x:row>
    <x:row r="71">
      <x:c r="A71" s="26" t="str">
        <x:v>ROUTE-067</x:v>
      </x:c>
      <x:c r="B71" s="26" t="str">
        <x:v>Layer 4 - Attorney Confirmation</x:v>
      </x:c>
      <x:c r="C71" s="26" t="str">
        <x:v>QC</x:v>
      </x:c>
      <x:c r="D71" s="26" t="str">
        <x:v>Critical</x:v>
      </x:c>
      <x:c r="E71" s="26" t="str">
        <x:v>Active</x:v>
      </x:c>
      <x:c r="F71" s="26" t="str">
        <x:v>EP-AIP scenario and EP-APP/MAPT scenario both selected in final output.</x:v>
      </x:c>
      <x:c r="G71" s="26" t="str">
        <x:v>Block final design until attorney resolves conflict.</x:v>
      </x:c>
      <x:c r="H71" s="26" t="str">
        <x:v>Current plan retained</x:v>
      </x:c>
      <x:c r="I71" s="26" t="str">
        <x:v>Conflict</x:v>
      </x:c>
      <x:c r="J71" s="26" t="str">
        <x:v>Current track retained</x:v>
      </x:c>
      <x:c r="K71" s="26" t="str">
        <x:v>Yes</x:v>
      </x:c>
      <x:c r="L71" s="26" t="str">
        <x:v>Mutually exclusive design paths.</x:v>
      </x:c>
      <x:c r="M71" s="26" t="str">
        <x:v>AIP is care spending; MAPT is next-generation asset preservation.</x:v>
      </x:c>
    </x:row>
    <x:row r="72">
      <x:c r="A72" s="26" t="str">
        <x:v>ROUTE-068</x:v>
      </x:c>
      <x:c r="B72" s="26" t="str">
        <x:v>Layer 4 - Attorney Confirmation</x:v>
      </x:c>
      <x:c r="C72" s="26" t="str">
        <x:v>QC</x:v>
      </x:c>
      <x:c r="D72" s="26" t="str">
        <x:v>High</x:v>
      </x:c>
      <x:c r="E72" s="26" t="str">
        <x:v>Active</x:v>
      </x:c>
      <x:c r="F72" s="26" t="str">
        <x:v>Final selected scenario has low confidence or top two scenarios within threshold.</x:v>
      </x:c>
      <x:c r="G72" s="26" t="str">
        <x:v>Require attorney confirmation note explaining selection.</x:v>
      </x:c>
      <x:c r="H72" s="26" t="str">
        <x:v>Current plan retained</x:v>
      </x:c>
      <x:c r="I72" s="26" t="str">
        <x:v>Current scenario retained</x:v>
      </x:c>
      <x:c r="J72" s="26" t="str">
        <x:v>Current track retained</x:v>
      </x:c>
      <x:c r="K72" s="26" t="str">
        <x:v>Conditional</x:v>
      </x:c>
      <x:c r="L72" s="26" t="str">
        <x:v>Ambiguous score.</x:v>
      </x:c>
      <x:c r="M72" s="26" t="str">
        <x:v>Score suggests; attorney confirms.</x:v>
      </x:c>
    </x:row>
  </x:sheetData>
  <x:mergeCells>
    <x:mergeCell ref="A1:M1"/>
    <x:mergeCell ref="A2:M2"/>
  </x:mergeCells>
  <x:conditionalFormatting sqref="D5:D72">
    <x:cfRule type="expression" dxfId="0" priority="1">
      <x:formula>D5="Critical"</x:formula>
    </x:cfRule>
  </x:conditionalFormatting>
  <x:conditionalFormatting sqref="K5:K72">
    <x:cfRule type="expression" dxfId="1" priority="2">
      <x:formula>K5="Yes"</x:formula>
    </x:cfRule>
  </x:conditionalFormatting>
  <x:dataValidations count="5">
    <x:dataValidation type="list" sqref="B5:B72">
      <x:formula1>"Layer 1 - Intake/Routing,Layer 2 - Priority/Scenario,Layer 3 - Clause/Drafting,Layer 4 - Attorney Confirmation"</x:formula1>
    </x:dataValidation>
    <x:dataValidation type="list" sqref="C5:C72">
      <x:formula1>"Hard Gate,Routing,Scoring,Exclusion,Conflict,Senior Review,Skip Logic,QC,Clause Trigger"</x:formula1>
    </x:dataValidation>
    <x:dataValidation type="list" sqref="D5:D72">
      <x:formula1>"Critical,High,Medium,Low"</x:formula1>
    </x:dataValidation>
    <x:dataValidation type="list" sqref="E5:E72">
      <x:formula1>"Active,Draft,Needs Review,Deprecated"</x:formula1>
    </x:dataValidation>
    <x:dataValidation type="list" sqref="K5:K72">
      <x:formula1>"Yes,No,Conditional"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a0050225c54f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4" hidden="0" customWidth="1"/>
    <x:col min="4" max="4" width="14" hidden="0" customWidth="1"/>
    <x:col min="5" max="5" width="40" hidden="0" customWidth="1"/>
    <x:col min="6" max="6" width="14" hidden="0" customWidth="1"/>
    <x:col min="7" max="7" width="50" hidden="0" customWidth="1"/>
  </x:cols>
  <x:sheetData>
    <x:row r="1">
      <x:c r="A1" s="6" t="str">
        <x:v>Rule ID</x:v>
      </x:c>
      <x:c r="B1" s="6" t="str">
        <x:v>Condition Group</x:v>
      </x:c>
      <x:c r="C1" s="6" t="str">
        <x:v>Field / Fact</x:v>
      </x:c>
      <x:c r="D1" s="6" t="str">
        <x:v>Operator</x:v>
      </x:c>
      <x:c r="E1" s="6" t="str">
        <x:v>Value / Threshold</x:v>
      </x:c>
      <x:c r="F1" s="6" t="str">
        <x:v>Connector</x:v>
      </x:c>
      <x:c r="G1" s="6" t="str">
        <x:v>Notes</x:v>
      </x:c>
    </x:row>
    <x:row r="2">
      <x:c r="A2" s="26" t="str">
        <x:v>ROUTE-001</x:v>
      </x:c>
      <x:c r="B2" s="26" t="str">
        <x:v>A</x:v>
      </x:c>
      <x:c r="C2" s="26" t="str">
        <x:v>marital_status</x:v>
      </x:c>
      <x:c r="D2" s="26" t="str">
        <x:v>=</x:v>
      </x:c>
      <x:c r="E2" s="26" t="str">
        <x:v>Married</x:v>
      </x:c>
      <x:c r="F2" s="26" t="str">
        <x:v>AND</x:v>
      </x:c>
      <x:c r="G2" s="26" t="str"/>
    </x:row>
    <x:row r="3">
      <x:c r="A3" s="26" t="str">
        <x:v>ROUTE-001</x:v>
      </x:c>
      <x:c r="B3" s="26" t="str">
        <x:v>A</x:v>
      </x:c>
      <x:c r="C3" s="26" t="str">
        <x:v>all_children_joint</x:v>
      </x:c>
      <x:c r="D3" s="26" t="str">
        <x:v>=</x:v>
      </x:c>
      <x:c r="E3" s="26" t="str">
        <x:v>Yes</x:v>
      </x:c>
      <x:c r="F3" s="26" t="str">
        <x:v>AND</x:v>
      </x:c>
      <x:c r="G3" s="26" t="str"/>
    </x:row>
    <x:row r="4">
      <x:c r="A4" s="26" t="str">
        <x:v>ROUTE-001</x:v>
      </x:c>
      <x:c r="B4" s="26" t="str">
        <x:v>A</x:v>
      </x:c>
      <x:c r="C4" s="26" t="str">
        <x:v>different_remainder_beneficiaries</x:v>
      </x:c>
      <x:c r="D4" s="26" t="str">
        <x:v>=</x:v>
      </x:c>
      <x:c r="E4" s="26" t="str">
        <x:v>No</x:v>
      </x:c>
      <x:c r="F4" s="26" t="str"/>
      <x:c r="G4" s="26" t="str"/>
    </x:row>
    <x:row r="5">
      <x:c r="A5" s="26" t="str">
        <x:v>ROUTE-002</x:v>
      </x:c>
      <x:c r="B5" s="26" t="str">
        <x:v>A</x:v>
      </x:c>
      <x:c r="C5" s="26" t="str">
        <x:v>separate_children_or_stepchildren</x:v>
      </x:c>
      <x:c r="D5" s="26" t="str">
        <x:v>=</x:v>
      </x:c>
      <x:c r="E5" s="26" t="str">
        <x:v>Yes</x:v>
      </x:c>
      <x:c r="F5" s="26" t="str"/>
      <x:c r="G5" s="26" t="str">
        <x:v>Blended-family routing.</x:v>
      </x:c>
    </x:row>
    <x:row r="6">
      <x:c r="A6" s="26" t="str">
        <x:v>ROUTE-003</x:v>
      </x:c>
      <x:c r="B6" s="26" t="str">
        <x:v>A</x:v>
      </x:c>
      <x:c r="C6" s="26" t="str">
        <x:v>marital_status</x:v>
      </x:c>
      <x:c r="D6" s="26" t="str">
        <x:v>=</x:v>
      </x:c>
      <x:c r="E6" s="26" t="str">
        <x:v>Married</x:v>
      </x:c>
      <x:c r="F6" s="26" t="str">
        <x:v>AND</x:v>
      </x:c>
      <x:c r="G6" s="26" t="str"/>
    </x:row>
    <x:row r="7">
      <x:c r="A7" s="26" t="str">
        <x:v>ROUTE-003</x:v>
      </x:c>
      <x:c r="B7" s="26" t="str">
        <x:v>A</x:v>
      </x:c>
      <x:c r="C7" s="26" t="str">
        <x:v>has_children_or_descendants</x:v>
      </x:c>
      <x:c r="D7" s="26" t="str">
        <x:v>=</x:v>
      </x:c>
      <x:c r="E7" s="26" t="str">
        <x:v>No</x:v>
      </x:c>
      <x:c r="F7" s="26" t="str"/>
      <x:c r="G7" s="26" t="str"/>
    </x:row>
    <x:row r="8">
      <x:c r="A8" s="26" t="str">
        <x:v>ROUTE-004</x:v>
      </x:c>
      <x:c r="B8" s="26" t="str">
        <x:v>A</x:v>
      </x:c>
      <x:c r="C8" s="26" t="str">
        <x:v>marital_status</x:v>
      </x:c>
      <x:c r="D8" s="26" t="str">
        <x:v>IN</x:v>
      </x:c>
      <x:c r="E8" s="26" t="str">
        <x:v>Single, Divorced, Widowed, Unmarried</x:v>
      </x:c>
      <x:c r="F8" s="26" t="str">
        <x:v>AND</x:v>
      </x:c>
      <x:c r="G8" s="26" t="str"/>
    </x:row>
    <x:row r="9">
      <x:c r="A9" s="26" t="str">
        <x:v>ROUTE-004</x:v>
      </x:c>
      <x:c r="B9" s="26" t="str">
        <x:v>A</x:v>
      </x:c>
      <x:c r="C9" s="26" t="str">
        <x:v>has_children_or_descendants</x:v>
      </x:c>
      <x:c r="D9" s="26" t="str">
        <x:v>=</x:v>
      </x:c>
      <x:c r="E9" s="26" t="str">
        <x:v>Yes</x:v>
      </x:c>
      <x:c r="F9" s="26" t="str"/>
      <x:c r="G9" s="26" t="str"/>
    </x:row>
    <x:row r="10">
      <x:c r="A10" s="26" t="str">
        <x:v>ROUTE-005</x:v>
      </x:c>
      <x:c r="B10" s="26" t="str">
        <x:v>A</x:v>
      </x:c>
      <x:c r="C10" s="26" t="str">
        <x:v>marital_status</x:v>
      </x:c>
      <x:c r="D10" s="26" t="str">
        <x:v>IN</x:v>
      </x:c>
      <x:c r="E10" s="26" t="str">
        <x:v>Single, Divorced, Widowed, Unmarried</x:v>
      </x:c>
      <x:c r="F10" s="26" t="str">
        <x:v>AND</x:v>
      </x:c>
      <x:c r="G10" s="26" t="str"/>
    </x:row>
    <x:row r="11">
      <x:c r="A11" s="26" t="str">
        <x:v>ROUTE-005</x:v>
      </x:c>
      <x:c r="B11" s="26" t="str">
        <x:v>A</x:v>
      </x:c>
      <x:c r="C11" s="26" t="str">
        <x:v>has_children_or_descendants</x:v>
      </x:c>
      <x:c r="D11" s="26" t="str">
        <x:v>=</x:v>
      </x:c>
      <x:c r="E11" s="26" t="str">
        <x:v>No</x:v>
      </x:c>
      <x:c r="F11" s="26" t="str"/>
      <x:c r="G11" s="26" t="str"/>
    </x:row>
    <x:row r="12">
      <x:c r="A12" s="26" t="str">
        <x:v>ROUTE-006</x:v>
      </x:c>
      <x:c r="B12" s="26" t="str">
        <x:v>A</x:v>
      </x:c>
      <x:c r="C12" s="26" t="str">
        <x:v>minor_children_present</x:v>
      </x:c>
      <x:c r="D12" s="26" t="str">
        <x:v>=</x:v>
      </x:c>
      <x:c r="E12" s="26" t="str">
        <x:v>Yes</x:v>
      </x:c>
      <x:c r="F12" s="26" t="str"/>
      <x:c r="G12" s="26" t="str"/>
    </x:row>
    <x:row r="13">
      <x:c r="A13" s="26" t="str">
        <x:v>ROUTE-011</x:v>
      </x:c>
      <x:c r="B13" s="26" t="str">
        <x:v>A</x:v>
      </x:c>
      <x:c r="C13" s="26" t="str">
        <x:v>client_requests_MAPT</x:v>
      </x:c>
      <x:c r="D13" s="26" t="str">
        <x:v>=</x:v>
      </x:c>
      <x:c r="E13" s="26" t="str">
        <x:v>Yes</x:v>
      </x:c>
      <x:c r="F13" s="26" t="str">
        <x:v>OR</x:v>
      </x:c>
      <x:c r="G13" s="26" t="str"/>
    </x:row>
    <x:row r="14">
      <x:c r="A14" s="26" t="str">
        <x:v>ROUTE-011</x:v>
      </x:c>
      <x:c r="B14" s="26" t="str">
        <x:v>B</x:v>
      </x:c>
      <x:c r="C14" s="26" t="str">
        <x:v>asset_protection_transfer_desired</x:v>
      </x:c>
      <x:c r="D14" s="26" t="str">
        <x:v>=</x:v>
      </x:c>
      <x:c r="E14" s="26" t="str">
        <x:v>Yes</x:v>
      </x:c>
      <x:c r="F14" s="26" t="str"/>
      <x:c r="G14" s="26" t="str"/>
    </x:row>
    <x:row r="15">
      <x:c r="A15" s="26" t="str">
        <x:v>ROUTE-012</x:v>
      </x:c>
      <x:c r="B15" s="26" t="str">
        <x:v>A</x:v>
      </x:c>
      <x:c r="C15" s="26" t="str">
        <x:v>scenario_code</x:v>
      </x:c>
      <x:c r="D15" s="26" t="str">
        <x:v>IN</x:v>
      </x:c>
      <x:c r="E15" s="26" t="str">
        <x:v>EP-AIP.0, EP-AIP.1, EP-AIP.2</x:v>
      </x:c>
      <x:c r="F15" s="26" t="str"/>
      <x:c r="G15" s="26" t="str"/>
    </x:row>
    <x:row r="16">
      <x:c r="A16" s="26" t="str">
        <x:v>ROUTE-013</x:v>
      </x:c>
      <x:c r="B16" s="26" t="str">
        <x:v>A</x:v>
      </x:c>
      <x:c r="C16" s="26" t="str">
        <x:v>tax_posture</x:v>
      </x:c>
      <x:c r="D16" s="26" t="str">
        <x:v>=</x:v>
      </x:c>
      <x:c r="E16" s="26" t="str">
        <x:v>TAX-3</x:v>
      </x:c>
      <x:c r="F16" s="26" t="str"/>
      <x:c r="G16" s="26" t="str"/>
    </x:row>
    <x:row r="17">
      <x:c r="A17" s="26" t="str">
        <x:v>ROUTE-014</x:v>
      </x:c>
      <x:c r="B17" s="26" t="str">
        <x:v>A</x:v>
      </x:c>
      <x:c r="C17" s="26" t="str">
        <x:v>tax_posture</x:v>
      </x:c>
      <x:c r="D17" s="26" t="str">
        <x:v>=</x:v>
      </x:c>
      <x:c r="E17" s="26" t="str">
        <x:v>TAX-2</x:v>
      </x:c>
      <x:c r="F17" s="26" t="str"/>
      <x:c r="G17" s="26" t="str"/>
    </x:row>
    <x:row r="18">
      <x:c r="A18" s="26" t="str">
        <x:v>ROUTE-015</x:v>
      </x:c>
      <x:c r="B18" s="26" t="str">
        <x:v>A</x:v>
      </x:c>
      <x:c r="C18" s="26" t="str">
        <x:v>tax_posture</x:v>
      </x:c>
      <x:c r="D18" s="26" t="str">
        <x:v>=</x:v>
      </x:c>
      <x:c r="E18" s="26" t="str">
        <x:v>TAX-1</x:v>
      </x:c>
      <x:c r="F18" s="26" t="str"/>
      <x:c r="G18" s="26" t="str"/>
    </x:row>
    <x:row r="19">
      <x:c r="A19" s="26" t="str">
        <x:v>ROUTE-017</x:v>
      </x:c>
      <x:c r="B19" s="26" t="str">
        <x:v>A</x:v>
      </x:c>
      <x:c r="C19" s="26" t="str">
        <x:v>disabled_or_benefits_sensitive_beneficiary</x:v>
      </x:c>
      <x:c r="D19" s="26" t="str">
        <x:v>=</x:v>
      </x:c>
      <x:c r="E19" s="26" t="str">
        <x:v>Yes</x:v>
      </x:c>
      <x:c r="F19" s="26" t="str"/>
      <x:c r="G19" s="26" t="str"/>
    </x:row>
    <x:row r="20">
      <x:c r="A20" s="26" t="str">
        <x:v>ROUTE-018</x:v>
      </x:c>
      <x:c r="B20" s="26" t="str">
        <x:v>A</x:v>
      </x:c>
      <x:c r="C20" s="26" t="str">
        <x:v>beneficiary_protective_concern</x:v>
      </x:c>
      <x:c r="D20" s="26" t="str">
        <x:v>=</x:v>
      </x:c>
      <x:c r="E20" s="26" t="str">
        <x:v>Yes</x:v>
      </x:c>
      <x:c r="F20" s="26" t="str"/>
      <x:c r="G20" s="26" t="str"/>
    </x:row>
    <x:row r="21">
      <x:c r="A21" s="26" t="str">
        <x:v>ROUTE-019</x:v>
      </x:c>
      <x:c r="B21" s="26" t="str">
        <x:v>A</x:v>
      </x:c>
      <x:c r="C21" s="26" t="str">
        <x:v>family_conflict_or_contest_risk</x:v>
      </x:c>
      <x:c r="D21" s="26" t="str">
        <x:v>=</x:v>
      </x:c>
      <x:c r="E21" s="26" t="str">
        <x:v>Yes</x:v>
      </x:c>
      <x:c r="F21" s="26" t="str"/>
      <x:c r="G21" s="26" t="str"/>
    </x:row>
    <x:row r="22">
      <x:c r="A22" s="26" t="str">
        <x:v>ROUTE-021</x:v>
      </x:c>
      <x:c r="B22" s="26" t="str">
        <x:v>A</x:v>
      </x:c>
      <x:c r="C22" s="26" t="str">
        <x:v>P3_score</x:v>
      </x:c>
      <x:c r="D22" s="26" t="str">
        <x:v>'&gt;=</x:v>
      </x:c>
      <x:c r="E22" s="26" t="str">
        <x:v>High threshold</x:v>
      </x:c>
      <x:c r="F22" s="26" t="str">
        <x:v>AND</x:v>
      </x:c>
      <x:c r="G22" s="26" t="str"/>
    </x:row>
    <x:row r="23">
      <x:c r="A23" s="26" t="str">
        <x:v>ROUTE-021</x:v>
      </x:c>
      <x:c r="B23" s="26" t="str">
        <x:v>A</x:v>
      </x:c>
      <x:c r="C23" s="26" t="str">
        <x:v>client_wants_home_mandate</x:v>
      </x:c>
      <x:c r="D23" s="26" t="str">
        <x:v>=</x:v>
      </x:c>
      <x:c r="E23" s="26" t="str">
        <x:v>Yes</x:v>
      </x:c>
      <x:c r="F23" s="26" t="str">
        <x:v>AND</x:v>
      </x:c>
      <x:c r="G23" s="26" t="str"/>
    </x:row>
    <x:row r="24">
      <x:c r="A24" s="26" t="str">
        <x:v>ROUTE-021</x:v>
      </x:c>
      <x:c r="B24" s="26" t="str">
        <x:v>A</x:v>
      </x:c>
      <x:c r="C24" s="26" t="str">
        <x:v>client_requests_MAPT</x:v>
      </x:c>
      <x:c r="D24" s="26" t="str">
        <x:v>=</x:v>
      </x:c>
      <x:c r="E24" s="26" t="str">
        <x:v>No</x:v>
      </x:c>
      <x:c r="F24" s="26" t="str"/>
      <x:c r="G24" s="26" t="str"/>
    </x:row>
    <x:row r="25">
      <x:c r="A25" s="26" t="str">
        <x:v>ROUTE-022</x:v>
      </x:c>
      <x:c r="B25" s="26" t="str">
        <x:v>A</x:v>
      </x:c>
      <x:c r="C25" s="26" t="str">
        <x:v>P4_score</x:v>
      </x:c>
      <x:c r="D25" s="26" t="str">
        <x:v>'&gt;=</x:v>
      </x:c>
      <x:c r="E25" s="26" t="str">
        <x:v>High threshold</x:v>
      </x:c>
      <x:c r="F25" s="26" t="str">
        <x:v>AND</x:v>
      </x:c>
      <x:c r="G25" s="26" t="str"/>
    </x:row>
    <x:row r="26">
      <x:c r="A26" s="26" t="str">
        <x:v>ROUTE-022</x:v>
      </x:c>
      <x:c r="B26" s="26" t="str">
        <x:v>A</x:v>
      </x:c>
      <x:c r="C26" s="26" t="str">
        <x:v>home_first_but_institution_allowed</x:v>
      </x:c>
      <x:c r="D26" s="26" t="str">
        <x:v>=</x:v>
      </x:c>
      <x:c r="E26" s="26" t="str">
        <x:v>Yes</x:v>
      </x:c>
      <x:c r="F26" s="26" t="str"/>
      <x:c r="G26" s="26" t="str"/>
    </x:row>
    <x:row r="27">
      <x:c r="A27" s="26" t="str">
        <x:v>ROUTE-023</x:v>
      </x:c>
      <x:c r="B27" s="26" t="str">
        <x:v>A</x:v>
      </x:c>
      <x:c r="C27" s="26" t="str">
        <x:v>marital_status</x:v>
      </x:c>
      <x:c r="D27" s="26" t="str">
        <x:v>=</x:v>
      </x:c>
      <x:c r="E27" s="26" t="str">
        <x:v>Married</x:v>
      </x:c>
      <x:c r="F27" s="26" t="str">
        <x:v>AND</x:v>
      </x:c>
      <x:c r="G27" s="26" t="str"/>
    </x:row>
    <x:row r="28">
      <x:c r="A28" s="26" t="str">
        <x:v>ROUTE-023</x:v>
      </x:c>
      <x:c r="B28" s="26" t="str">
        <x:v>A</x:v>
      </x:c>
      <x:c r="C28" s="26" t="str">
        <x:v>spouse_preservation_priority</x:v>
      </x:c>
      <x:c r="D28" s="26" t="str">
        <x:v>=</x:v>
      </x:c>
      <x:c r="E28" s="26" t="str">
        <x:v>Yes</x:v>
      </x:c>
      <x:c r="F28" s="26" t="str">
        <x:v>AND</x:v>
      </x:c>
      <x:c r="G28" s="26" t="str"/>
    </x:row>
    <x:row r="29">
      <x:c r="A29" s="26" t="str">
        <x:v>ROUTE-023</x:v>
      </x:c>
      <x:c r="B29" s="26" t="str">
        <x:v>A</x:v>
      </x:c>
      <x:c r="C29" s="26" t="str">
        <x:v>MAPT_desired_for_descendants</x:v>
      </x:c>
      <x:c r="D29" s="26" t="str">
        <x:v>=</x:v>
      </x:c>
      <x:c r="E29" s="26" t="str">
        <x:v>No</x:v>
      </x:c>
      <x:c r="F29" s="26" t="str"/>
      <x:c r="G29" s="26" t="str"/>
    </x:row>
    <x:row r="30">
      <x:c r="A30" s="26" t="str">
        <x:v>ROUTE-024</x:v>
      </x:c>
      <x:c r="B30" s="26" t="str">
        <x:v>A</x:v>
      </x:c>
      <x:c r="C30" s="26" t="str">
        <x:v>forced_SS_SNT_selected</x:v>
      </x:c>
      <x:c r="D30" s="26" t="str">
        <x:v>=</x:v>
      </x:c>
      <x:c r="E30" s="26" t="str">
        <x:v>Yes</x:v>
      </x:c>
      <x:c r="F30" s="26" t="str"/>
      <x:c r="G30" s="26" t="str">
        <x:v>Selection may be explicit or scoring-driven but attorney must confirm.</x:v>
      </x:c>
    </x:row>
    <x:row r="31">
      <x:c r="A31" s="26" t="str">
        <x:v>ROUTE-025</x:v>
      </x:c>
      <x:c r="B31" s="26" t="str">
        <x:v>A</x:v>
      </x:c>
      <x:c r="C31" s="26" t="str">
        <x:v>conditional_SS_SNT_selected</x:v>
      </x:c>
      <x:c r="D31" s="26" t="str">
        <x:v>=</x:v>
      </x:c>
      <x:c r="E31" s="26" t="str">
        <x:v>Yes</x:v>
      </x:c>
      <x:c r="F31" s="26" t="str"/>
      <x:c r="G31" s="26" t="str"/>
    </x:row>
    <x:row r="32">
      <x:c r="A32" s="26" t="str">
        <x:v>ROUTE-026</x:v>
      </x:c>
      <x:c r="B32" s="26" t="str">
        <x:v>A</x:v>
      </x:c>
      <x:c r="C32" s="26" t="str">
        <x:v>SS_SNT_rejected</x:v>
      </x:c>
      <x:c r="D32" s="26" t="str">
        <x:v>=</x:v>
      </x:c>
      <x:c r="E32" s="26" t="str">
        <x:v>Yes</x:v>
      </x:c>
      <x:c r="F32" s="26" t="str">
        <x:v>AND</x:v>
      </x:c>
      <x:c r="G32" s="26" t="str"/>
    </x:row>
    <x:row r="33">
      <x:c r="A33" s="26" t="str">
        <x:v>ROUTE-026</x:v>
      </x:c>
      <x:c r="B33" s="26" t="str">
        <x:v>A</x:v>
      </x:c>
      <x:c r="C33" s="26" t="str">
        <x:v>protected_deceased_spouse_share_desired</x:v>
      </x:c>
      <x:c r="D33" s="26" t="str">
        <x:v>=</x:v>
      </x:c>
      <x:c r="E33" s="26" t="str">
        <x:v>Yes</x:v>
      </x:c>
      <x:c r="F33" s="26" t="str"/>
      <x:c r="G33" s="26" t="str"/>
    </x:row>
    <x:row r="34">
      <x:c r="A34" s="26" t="str">
        <x:v>ROUTE-027</x:v>
      </x:c>
      <x:c r="B34" s="26" t="str">
        <x:v>A</x:v>
      </x:c>
      <x:c r="C34" s="26" t="str">
        <x:v>tax_posture</x:v>
      </x:c>
      <x:c r="D34" s="26" t="str">
        <x:v>IN</x:v>
      </x:c>
      <x:c r="E34" s="26" t="str">
        <x:v>TAX-1, TAX-2, TAX-3</x:v>
      </x:c>
      <x:c r="F34" s="26" t="str">
        <x:v>OR</x:v>
      </x:c>
      <x:c r="G34" s="26" t="str"/>
    </x:row>
    <x:row r="35">
      <x:c r="A35" s="26" t="str">
        <x:v>ROUTE-027</x:v>
      </x:c>
      <x:c r="B35" s="26" t="str">
        <x:v>B</x:v>
      </x:c>
      <x:c r="C35" s="26" t="str">
        <x:v>tax_planning_requested</x:v>
      </x:c>
      <x:c r="D35" s="26" t="str">
        <x:v>=</x:v>
      </x:c>
      <x:c r="E35" s="26" t="str">
        <x:v>Yes</x:v>
      </x:c>
      <x:c r="F35" s="26" t="str"/>
      <x:c r="G35" s="26" t="str"/>
    </x:row>
    <x:row r="36">
      <x:c r="A36" s="26" t="str">
        <x:v>ROUTE-032</x:v>
      </x:c>
      <x:c r="B36" s="26" t="str">
        <x:v>A</x:v>
      </x:c>
      <x:c r="C36" s="26" t="str">
        <x:v>plan_preference</x:v>
      </x:c>
      <x:c r="D36" s="26" t="str">
        <x:v>=</x:v>
      </x:c>
      <x:c r="E36" s="26" t="str">
        <x:v>MAPT + RLT</x:v>
      </x:c>
      <x:c r="F36" s="26" t="str"/>
      <x:c r="G36" s="26" t="str"/>
    </x:row>
    <x:row r="37">
      <x:c r="A37" s="26" t="str">
        <x:v>ROUTE-033</x:v>
      </x:c>
      <x:c r="B37" s="26" t="str">
        <x:v>A</x:v>
      </x:c>
      <x:c r="C37" s="26" t="str">
        <x:v>plan_preference</x:v>
      </x:c>
      <x:c r="D37" s="26" t="str">
        <x:v>=</x:v>
      </x:c>
      <x:c r="E37" s="26" t="str">
        <x:v>MAPT Only</x:v>
      </x:c>
      <x:c r="F37" s="26" t="str"/>
      <x:c r="G37" s="26" t="str"/>
    </x:row>
    <x:row r="38">
      <x:c r="A38" s="26" t="str">
        <x:v>ROUTE-034</x:v>
      </x:c>
      <x:c r="B38" s="26" t="str">
        <x:v>A</x:v>
      </x:c>
      <x:c r="C38" s="26" t="str">
        <x:v>next_generation_asset_preservation_priority</x:v>
      </x:c>
      <x:c r="D38" s="26" t="str">
        <x:v>=</x:v>
      </x:c>
      <x:c r="E38" s="26" t="str">
        <x:v>Yes</x:v>
      </x:c>
      <x:c r="F38" s="26" t="str">
        <x:v>AND</x:v>
      </x:c>
      <x:c r="G38" s="26" t="str"/>
    </x:row>
    <x:row r="39">
      <x:c r="A39" s="26" t="str">
        <x:v>ROUTE-034</x:v>
      </x:c>
      <x:c r="B39" s="26" t="str">
        <x:v>A</x:v>
      </x:c>
      <x:c r="C39" s="26" t="str">
        <x:v>care_spending_priority</x:v>
      </x:c>
      <x:c r="D39" s="26" t="str">
        <x:v>=</x:v>
      </x:c>
      <x:c r="E39" s="26" t="str">
        <x:v>No</x:v>
      </x:c>
      <x:c r="F39" s="26" t="str"/>
      <x:c r="G39" s="26" t="str"/>
    </x:row>
    <x:row r="40">
      <x:c r="A40" s="26" t="str">
        <x:v>ROUTE-067</x:v>
      </x:c>
      <x:c r="B40" s="26" t="str">
        <x:v>A</x:v>
      </x:c>
      <x:c r="C40" s="26" t="str">
        <x:v>final_scenario_code</x:v>
      </x:c>
      <x:c r="D40" s="26" t="str">
        <x:v>IN</x:v>
      </x:c>
      <x:c r="E40" s="26" t="str">
        <x:v>EP-AIP.0, EP-AIP.1, EP-AIP.2</x:v>
      </x:c>
      <x:c r="F40" s="26" t="str">
        <x:v>AND</x:v>
      </x:c>
      <x:c r="G40" s="26" t="str"/>
    </x:row>
    <x:row r="41">
      <x:c r="A41" s="26" t="str">
        <x:v>ROUTE-067</x:v>
      </x:c>
      <x:c r="B41" s="26" t="str">
        <x:v>A</x:v>
      </x:c>
      <x:c r="C41" s="26" t="str">
        <x:v>final_plan_code</x:v>
      </x:c>
      <x:c r="D41" s="26" t="str">
        <x:v>=</x:v>
      </x:c>
      <x:c r="E41" s="26" t="str">
        <x:v>EP-APP</x:v>
      </x:c>
      <x:c r="F41" s="26" t="str"/>
      <x:c r="G41" s="26" t="str"/>
    </x:row>
  </x:sheetData>
  <x:pageMargins left="0.7" right="0.7" top="0.75" bottom="0.75" header="0.3" footer="0.3"/>
  <x:tableParts count="1">
    <x:tablePart xmlns:r="http://schemas.openxmlformats.org/officeDocument/2006/relationships" r:id="R7a29f3b205cf472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26" hidden="0" customWidth="1"/>
    <x:col min="4" max="4" width="32" hidden="0" customWidth="1"/>
    <x:col min="5" max="5" width="42" hidden="0" customWidth="1"/>
    <x:col min="6" max="6" width="18" hidden="0" customWidth="1"/>
    <x:col min="7" max="7" width="22" hidden="0" customWidth="1"/>
    <x:col min="8" max="8" width="50" hidden="0" customWidth="1"/>
  </x:cols>
  <x:sheetData>
    <x:row r="1">
      <x:c r="A1" s="6" t="str">
        <x:v>Rule ID</x:v>
      </x:c>
      <x:c r="B1" s="6" t="str">
        <x:v>Action Type</x:v>
      </x:c>
      <x:c r="C1" s="6" t="str">
        <x:v>Target Field</x:v>
      </x:c>
      <x:c r="D1" s="6" t="str">
        <x:v>Action Value</x:v>
      </x:c>
      <x:c r="E1" s="6" t="str">
        <x:v>Required Follow-Up</x:v>
      </x:c>
      <x:c r="F1" s="6" t="str">
        <x:v>Blocks Drafting?</x:v>
      </x:c>
      <x:c r="G1" s="6" t="str">
        <x:v>Attorney Override Allowed?</x:v>
      </x:c>
      <x:c r="H1" s="6" t="str">
        <x:v>Notes</x:v>
      </x:c>
    </x:row>
    <x:row r="2">
      <x:c r="A2" s="26" t="str">
        <x:v>ROUTE-001</x:v>
      </x:c>
      <x:c r="B2" s="26" t="str">
        <x:v>Set</x:v>
      </x:c>
      <x:c r="C2" s="26" t="str">
        <x:v>family_structure_code</x:v>
      </x:c>
      <x:c r="D2" s="26" t="str">
        <x:v>FST-1</x:v>
      </x:c>
      <x:c r="E2" s="26" t="str">
        <x:v>Proceed to married unified script</x:v>
      </x:c>
      <x:c r="F2" s="26" t="str">
        <x:v>No</x:v>
      </x:c>
      <x:c r="G2" s="26" t="str">
        <x:v>Yes</x:v>
      </x:c>
      <x:c r="H2" s="26" t="str"/>
    </x:row>
    <x:row r="3">
      <x:c r="A3" s="26" t="str">
        <x:v>ROUTE-002</x:v>
      </x:c>
      <x:c r="B3" s="26" t="str">
        <x:v>Set + Flag</x:v>
      </x:c>
      <x:c r="C3" s="26" t="str">
        <x:v>family_structure_code</x:v>
      </x:c>
      <x:c r="D3" s="26" t="str">
        <x:v>FST-2</x:v>
      </x:c>
      <x:c r="E3" s="26" t="str">
        <x:v>Blended-family script and senior review</x:v>
      </x:c>
      <x:c r="F3" s="26" t="str">
        <x:v>Conditional</x:v>
      </x:c>
      <x:c r="G3" s="26" t="str">
        <x:v>Yes</x:v>
      </x:c>
      <x:c r="H3" s="26" t="str"/>
    </x:row>
    <x:row r="4">
      <x:c r="A4" s="26" t="str">
        <x:v>ROUTE-011</x:v>
      </x:c>
      <x:c r="B4" s="26" t="str">
        <x:v>Set + Exclude</x:v>
      </x:c>
      <x:c r="C4" s="26" t="str">
        <x:v>plan_code</x:v>
      </x:c>
      <x:c r="D4" s="26" t="str">
        <x:v>EP-APP</x:v>
      </x:c>
      <x:c r="E4" s="26" t="str">
        <x:v>Open MAPT modules; exclude AIP</x:v>
      </x:c>
      <x:c r="F4" s="26" t="str">
        <x:v>Conditional</x:v>
      </x:c>
      <x:c r="G4" s="26" t="str">
        <x:v>Yes</x:v>
      </x:c>
      <x:c r="H4" s="26" t="str">
        <x:v>Mutual exclusivity hard rule.</x:v>
      </x:c>
    </x:row>
    <x:row r="5">
      <x:c r="A5" s="26" t="str">
        <x:v>ROUTE-012</x:v>
      </x:c>
      <x:c r="B5" s="26" t="str">
        <x:v>Exclude</x:v>
      </x:c>
      <x:c r="C5" s="26" t="str">
        <x:v>clause_package</x:v>
      </x:c>
      <x:c r="D5" s="26" t="str">
        <x:v>MAPT</x:v>
      </x:c>
      <x:c r="E5" s="26" t="str">
        <x:v>Verify no MAPT clauses in EP-AIP output</x:v>
      </x:c>
      <x:c r="F5" s="26" t="str">
        <x:v>No</x:v>
      </x:c>
      <x:c r="G5" s="26" t="str">
        <x:v>No</x:v>
      </x:c>
      <x:c r="H5" s="26" t="str">
        <x:v>AIP cannot include MAPT planning.</x:v>
      </x:c>
    </x:row>
    <x:row r="6">
      <x:c r="A6" s="26" t="str">
        <x:v>ROUTE-013</x:v>
      </x:c>
      <x:c r="B6" s="26" t="str">
        <x:v>Flag</x:v>
      </x:c>
      <x:c r="C6" s="26" t="str">
        <x:v>senior_review_required</x:v>
      </x:c>
      <x:c r="D6" s="26" t="str">
        <x:v>Yes</x:v>
      </x:c>
      <x:c r="E6" s="26" t="str">
        <x:v>Senior tax review</x:v>
      </x:c>
      <x:c r="F6" s="26" t="str">
        <x:v>Yes</x:v>
      </x:c>
      <x:c r="G6" s="26" t="str">
        <x:v>No</x:v>
      </x:c>
      <x:c r="H6" s="26" t="str">
        <x:v>TAX-3 hard gate.</x:v>
      </x:c>
    </x:row>
    <x:row r="7">
      <x:c r="A7" s="26" t="str">
        <x:v>ROUTE-021</x:v>
      </x:c>
      <x:c r="B7" s="26" t="str">
        <x:v>Recommend</x:v>
      </x:c>
      <x:c r="C7" s="26" t="str">
        <x:v>scenario_code</x:v>
      </x:c>
      <x:c r="D7" s="26" t="str">
        <x:v>EP-AIP.0</x:v>
      </x:c>
      <x:c r="E7" s="26" t="str">
        <x:v>Confirm home-care mandate exceptions</x:v>
      </x:c>
      <x:c r="F7" s="26" t="str">
        <x:v>Conditional</x:v>
      </x:c>
      <x:c r="G7" s="26" t="str">
        <x:v>Yes</x:v>
      </x:c>
      <x:c r="H7" s="26" t="str"/>
    </x:row>
    <x:row r="8">
      <x:c r="A8" s="26" t="str">
        <x:v>ROUTE-022</x:v>
      </x:c>
      <x:c r="B8" s="26" t="str">
        <x:v>Recommend</x:v>
      </x:c>
      <x:c r="C8" s="26" t="str">
        <x:v>scenario_code</x:v>
      </x:c>
      <x:c r="D8" s="26" t="str">
        <x:v>EP-AIP.1</x:v>
      </x:c>
      <x:c r="E8" s="26" t="str">
        <x:v>Confirm comfort-care standards</x:v>
      </x:c>
      <x:c r="F8" s="26" t="str">
        <x:v>Conditional</x:v>
      </x:c>
      <x:c r="G8" s="26" t="str">
        <x:v>Yes</x:v>
      </x:c>
      <x:c r="H8" s="26" t="str"/>
    </x:row>
    <x:row r="9">
      <x:c r="A9" s="26" t="str">
        <x:v>ROUTE-023</x:v>
      </x:c>
      <x:c r="B9" s="26" t="str">
        <x:v>Recommend</x:v>
      </x:c>
      <x:c r="C9" s="26" t="str">
        <x:v>scenario_code</x:v>
      </x:c>
      <x:c r="D9" s="26" t="str">
        <x:v>EP-AIP.2</x:v>
      </x:c>
      <x:c r="E9" s="26" t="str">
        <x:v>Confirm spouse-focused revocable planning</x:v>
      </x:c>
      <x:c r="F9" s="26" t="str">
        <x:v>Conditional</x:v>
      </x:c>
      <x:c r="G9" s="26" t="str">
        <x:v>Yes</x:v>
      </x:c>
      <x:c r="H9" s="26" t="str">
        <x:v>No MAPT.</x:v>
      </x:c>
    </x:row>
    <x:row r="10">
      <x:c r="A10" s="26" t="str">
        <x:v>ROUTE-024</x:v>
      </x:c>
      <x:c r="B10" s="26" t="str">
        <x:v>Recommend + Trigger</x:v>
      </x:c>
      <x:c r="C10" s="26" t="str">
        <x:v>scenario_code</x:v>
      </x:c>
      <x:c r="D10" s="26" t="str">
        <x:v>EP-LTP.SS-SNT.1</x:v>
      </x:c>
      <x:c r="E10" s="26" t="str">
        <x:v>Name SNT trustee; confirm forced design</x:v>
      </x:c>
      <x:c r="F10" s="26" t="str">
        <x:v>Conditional</x:v>
      </x:c>
      <x:c r="G10" s="26" t="str">
        <x:v>Yes</x:v>
      </x:c>
      <x:c r="H10" s="26" t="str">
        <x:v>May skip remarriage.</x:v>
      </x:c>
    </x:row>
    <x:row r="11">
      <x:c r="A11" s="26" t="str">
        <x:v>ROUTE-025</x:v>
      </x:c>
      <x:c r="B11" s="26" t="str">
        <x:v>Recommend + Trigger</x:v>
      </x:c>
      <x:c r="C11" s="26" t="str">
        <x:v>scenario_code</x:v>
      </x:c>
      <x:c r="D11" s="26" t="str">
        <x:v>EP-LTP.SS-SNT.2</x:v>
      </x:c>
      <x:c r="E11" s="26" t="str">
        <x:v>Define condition and trustee determination authority</x:v>
      </x:c>
      <x:c r="F11" s="26" t="str">
        <x:v>Conditional</x:v>
      </x:c>
      <x:c r="G11" s="26" t="str">
        <x:v>Yes</x:v>
      </x:c>
      <x:c r="H11" s="26" t="str"/>
    </x:row>
    <x:row r="12">
      <x:c r="A12" s="26" t="str">
        <x:v>ROUTE-039</x:v>
      </x:c>
      <x:c r="B12" s="26" t="str">
        <x:v>Trigger Clause</x:v>
      </x:c>
      <x:c r="C12" s="26" t="str">
        <x:v>clause_package</x:v>
      </x:c>
      <x:c r="D12" s="26" t="str">
        <x:v>Forced SS-SNT RLT Package</x:v>
      </x:c>
      <x:c r="E12" s="26" t="str">
        <x:v>Clause mapping review</x:v>
      </x:c>
      <x:c r="F12" s="26" t="str">
        <x:v>Conditional</x:v>
      </x:c>
      <x:c r="G12" s="26" t="str">
        <x:v>Yes</x:v>
      </x:c>
      <x:c r="H12" s="26" t="str"/>
    </x:row>
    <x:row r="13">
      <x:c r="A13" s="26" t="str">
        <x:v>ROUTE-044</x:v>
      </x:c>
      <x:c r="B13" s="26" t="str">
        <x:v>Trigger Clause</x:v>
      </x:c>
      <x:c r="C13" s="26" t="str">
        <x:v>clause_package</x:v>
      </x:c>
      <x:c r="D13" s="26" t="str">
        <x:v>Descendant SNT</x:v>
      </x:c>
      <x:c r="E13" s="26" t="str">
        <x:v>Beneficiary-specific review</x:v>
      </x:c>
      <x:c r="F13" s="26" t="str">
        <x:v>Conditional</x:v>
      </x:c>
      <x:c r="G13" s="26" t="str">
        <x:v>Yes</x:v>
      </x:c>
      <x:c r="H13" s="26" t="str"/>
    </x:row>
    <x:row r="14">
      <x:c r="A14" s="26" t="str">
        <x:v>ROUTE-054</x:v>
      </x:c>
      <x:c r="B14" s="26" t="str">
        <x:v>Trigger Module</x:v>
      </x:c>
      <x:c r="C14" s="26" t="str">
        <x:v>module_id</x:v>
      </x:c>
      <x:c r="D14" s="26" t="str">
        <x:v>Beneficiary Designation Coordination</x:v>
      </x:c>
      <x:c r="E14" s="26" t="str">
        <x:v>Collect beneficiary designation data</x:v>
      </x:c>
      <x:c r="F14" s="26" t="str">
        <x:v>Conditional</x:v>
      </x:c>
      <x:c r="G14" s="26" t="str">
        <x:v>Yes</x:v>
      </x:c>
      <x:c r="H14" s="26" t="str"/>
    </x:row>
    <x:row r="15">
      <x:c r="A15" s="26" t="str">
        <x:v>ROUTE-058</x:v>
      </x:c>
      <x:c r="B15" s="26" t="str">
        <x:v>Block</x:v>
      </x:c>
      <x:c r="C15" s="26" t="str">
        <x:v>drafting_status</x:v>
      </x:c>
      <x:c r="D15" s="26" t="str">
        <x:v>Not Drafting Ready</x:v>
      </x:c>
      <x:c r="E15" s="26" t="str">
        <x:v>Clear senior review/QC flags</x:v>
      </x:c>
      <x:c r="F15" s="26" t="str">
        <x:v>Yes</x:v>
      </x:c>
      <x:c r="G15" s="26" t="str">
        <x:v>No</x:v>
      </x:c>
      <x:c r="H15" s="26" t="str"/>
    </x:row>
    <x:row r="16">
      <x:c r="A16" s="26" t="str">
        <x:v>ROUTE-059</x:v>
      </x:c>
      <x:c r="B16" s="26" t="str">
        <x:v>Require Note</x:v>
      </x:c>
      <x:c r="C16" s="26" t="str">
        <x:v>override_reason</x:v>
      </x:c>
      <x:c r="D16" s="26" t="str">
        <x:v>Required</x:v>
      </x:c>
      <x:c r="E16" s="26" t="str">
        <x:v>Layer 4 confirmation</x:v>
      </x:c>
      <x:c r="F16" s="26" t="str">
        <x:v>No</x:v>
      </x:c>
      <x:c r="G16" s="26" t="str">
        <x:v>Yes</x:v>
      </x:c>
      <x:c r="H16" s="26" t="str">
        <x:v>Audit field.</x:v>
      </x:c>
    </x:row>
    <x:row r="17">
      <x:c r="A17" s="26" t="str">
        <x:v>ROUTE-060</x:v>
      </x:c>
      <x:c r="B17" s="26" t="str">
        <x:v>Flag</x:v>
      </x:c>
      <x:c r="C17" s="26" t="str">
        <x:v>clause_status</x:v>
      </x:c>
      <x:c r="D17" s="26" t="str">
        <x:v>Needs Review</x:v>
      </x:c>
      <x:c r="E17" s="26" t="str">
        <x:v>Approve or draft clause</x:v>
      </x:c>
      <x:c r="F17" s="26" t="str">
        <x:v>Conditional</x:v>
      </x:c>
      <x:c r="G17" s="26" t="str">
        <x:v>Yes</x:v>
      </x:c>
      <x:c r="H17" s="26" t="str">
        <x:v>Legacy placeholders not final.</x:v>
      </x:c>
    </x:row>
    <x:row r="18">
      <x:c r="A18" s="26" t="str">
        <x:v>ROUTE-067</x:v>
      </x:c>
      <x:c r="B18" s="26" t="str">
        <x:v>Block</x:v>
      </x:c>
      <x:c r="C18" s="26" t="str">
        <x:v>drafting_status</x:v>
      </x:c>
      <x:c r="D18" s="26" t="str">
        <x:v>Conflict - AIP/MAPT</x:v>
      </x:c>
      <x:c r="E18" s="26" t="str">
        <x:v>Attorney must choose EP-AIP or EP-APP</x:v>
      </x:c>
      <x:c r="F18" s="26" t="str">
        <x:v>Yes</x:v>
      </x:c>
      <x:c r="G18" s="26" t="str">
        <x:v>No</x:v>
      </x:c>
      <x:c r="H18" s="26" t="str"/>
    </x:row>
  </x:sheetData>
  <x:pageMargins left="0.7" right="0.7" top="0.75" bottom="0.75" header="0.3" footer="0.3"/>
  <x:tableParts count="1">
    <x:tablePart xmlns:r="http://schemas.openxmlformats.org/officeDocument/2006/relationships" r:id="R22208b9f92b1464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2" hidden="0" customWidth="1"/>
    <x:col min="3" max="3" width="28" hidden="0" customWidth="1"/>
    <x:col min="4" max="4" width="14" hidden="0" customWidth="1"/>
    <x:col min="5" max="5" width="14" hidden="0" customWidth="1"/>
    <x:col min="6" max="6" width="26" hidden="0" customWidth="1"/>
    <x:col min="7" max="7" width="42" hidden="0" customWidth="1"/>
    <x:col min="8" max="8" width="45" hidden="0" customWidth="1"/>
  </x:cols>
  <x:sheetData>
    <x:row r="1">
      <x:c r="A1" s="6" t="str">
        <x:v>Flag Code</x:v>
      </x:c>
      <x:c r="B1" s="6" t="str">
        <x:v>Trigger</x:v>
      </x:c>
      <x:c r="C1" s="6" t="str">
        <x:v>Source Rules</x:v>
      </x:c>
      <x:c r="D1" s="6" t="str">
        <x:v>Severity</x:v>
      </x:c>
      <x:c r="E1" s="6" t="str">
        <x:v>Blocking?</x:v>
      </x:c>
      <x:c r="F1" s="6" t="str">
        <x:v>Required Reviewer</x:v>
      </x:c>
      <x:c r="G1" s="6" t="str">
        <x:v>Clearance Evidence</x:v>
      </x:c>
      <x:c r="H1" s="6" t="str">
        <x:v>Notes</x:v>
      </x:c>
    </x:row>
    <x:row r="2">
      <x:c r="A2" s="26" t="str">
        <x:v>SR-TAX-STATE</x:v>
      </x:c>
      <x:c r="B2" s="26" t="str">
        <x:v>State estate tax sensitive matter</x:v>
      </x:c>
      <x:c r="C2" s="26" t="str">
        <x:v>ROUTE-015</x:v>
      </x:c>
      <x:c r="D2" s="26" t="str">
        <x:v>High</x:v>
      </x:c>
      <x:c r="E2" s="26" t="str">
        <x:v>Conditional</x:v>
      </x:c>
      <x:c r="F2" s="26" t="str">
        <x:v>Senior EP Attorney</x:v>
      </x:c>
      <x:c r="G2" s="26" t="str">
        <x:v>Tax posture reviewed; scenario approved</x:v>
      </x:c>
      <x:c r="H2" s="26" t="str"/>
    </x:row>
    <x:row r="3">
      <x:c r="A3" s="26" t="str">
        <x:v>SR-TAX-FED</x:v>
      </x:c>
      <x:c r="B3" s="26" t="str">
        <x:v>Federal estate tax sensitive matter</x:v>
      </x:c>
      <x:c r="C3" s="26" t="str">
        <x:v>ROUTE-014</x:v>
      </x:c>
      <x:c r="D3" s="26" t="str">
        <x:v>Critical</x:v>
      </x:c>
      <x:c r="E3" s="26" t="str">
        <x:v>Yes</x:v>
      </x:c>
      <x:c r="F3" s="26" t="str">
        <x:v>Senior EP Attorney</x:v>
      </x:c>
      <x:c r="G3" s="26" t="str">
        <x:v>Tax plan confirmed</x:v>
      </x:c>
      <x:c r="H3" s="26" t="str"/>
    </x:row>
    <x:row r="4">
      <x:c r="A4" s="26" t="str">
        <x:v>SR-TAX-UC</x:v>
      </x:c>
      <x:c r="B4" s="26" t="str">
        <x:v>Combined estate exceeds unified credit</x:v>
      </x:c>
      <x:c r="C4" s="26" t="str">
        <x:v>ROUTE-013</x:v>
      </x:c>
      <x:c r="D4" s="26" t="str">
        <x:v>Critical</x:v>
      </x:c>
      <x:c r="E4" s="26" t="str">
        <x:v>Yes</x:v>
      </x:c>
      <x:c r="F4" s="26" t="str">
        <x:v>Senior EP Attorney</x:v>
      </x:c>
      <x:c r="G4" s="26" t="str">
        <x:v>Advanced tax scope decision</x:v>
      </x:c>
      <x:c r="H4" s="26" t="str"/>
    </x:row>
    <x:row r="5">
      <x:c r="A5" s="26" t="str">
        <x:v>SR-BLEND</x:v>
      </x:c>
      <x:c r="B5" s="26" t="str">
        <x:v>Blended family, separate children, or different remainder beneficiaries</x:v>
      </x:c>
      <x:c r="C5" s="26" t="str">
        <x:v>ROUTE-002, ROUTE-008</x:v>
      </x:c>
      <x:c r="D5" s="26" t="str">
        <x:v>Critical</x:v>
      </x:c>
      <x:c r="E5" s="26" t="str">
        <x:v>Yes</x:v>
      </x:c>
      <x:c r="F5" s="26" t="str">
        <x:v>Senior/Lead Attorney</x:v>
      </x:c>
      <x:c r="G5" s="26" t="str">
        <x:v>Protected-share or separate-trust design confirmed</x:v>
      </x:c>
      <x:c r="H5" s="26" t="str"/>
    </x:row>
    <x:row r="6">
      <x:c r="A6" s="26" t="str">
        <x:v>SR-DISINHERIT</x:v>
      </x:c>
      <x:c r="B6" s="26" t="str">
        <x:v>Disinheritance or no-contest risk</x:v>
      </x:c>
      <x:c r="C6" s="26" t="str">
        <x:v>ROUTE-007</x:v>
      </x:c>
      <x:c r="D6" s="26" t="str">
        <x:v>Critical</x:v>
      </x:c>
      <x:c r="E6" s="26" t="str">
        <x:v>Yes</x:v>
      </x:c>
      <x:c r="F6" s="26" t="str">
        <x:v>Senior/Lead Attorney</x:v>
      </x:c>
      <x:c r="G6" s="26" t="str">
        <x:v>Disinheritance protocol completed</x:v>
      </x:c>
      <x:c r="H6" s="26" t="str"/>
    </x:row>
    <x:row r="7">
      <x:c r="A7" s="26" t="str">
        <x:v>SR-SNT-BEN</x:v>
      </x:c>
      <x:c r="B7" s="26" t="str">
        <x:v>Disabled or benefits-sensitive beneficiary</x:v>
      </x:c>
      <x:c r="C7" s="26" t="str">
        <x:v>ROUTE-017, ROUTE-044</x:v>
      </x:c>
      <x:c r="D7" s="26" t="str">
        <x:v>Critical</x:v>
      </x:c>
      <x:c r="E7" s="26" t="str">
        <x:v>Conditional</x:v>
      </x:c>
      <x:c r="F7" s="26" t="str">
        <x:v>Senior/Lead Attorney</x:v>
      </x:c>
      <x:c r="G7" s="26" t="str">
        <x:v>SNT or protective trust confirmed</x:v>
      </x:c>
      <x:c r="H7" s="26" t="str"/>
    </x:row>
    <x:row r="8">
      <x:c r="A8" s="26" t="str">
        <x:v>SR-MAPT</x:v>
      </x:c>
      <x:c r="B8" s="26" t="str">
        <x:v>MAPT or EP-APP planning</x:v>
      </x:c>
      <x:c r="C8" s="26" t="str">
        <x:v>ROUTE-011, ROUTE-032, ROUTE-033, ROUTE-062</x:v>
      </x:c>
      <x:c r="D8" s="26" t="str">
        <x:v>Critical</x:v>
      </x:c>
      <x:c r="E8" s="26" t="str">
        <x:v>Yes</x:v>
      </x:c>
      <x:c r="F8" s="26" t="str">
        <x:v>Senior/Lead Attorney</x:v>
      </x:c>
      <x:c r="G8" s="26" t="str">
        <x:v>MAPT design and funding reviewed</x:v>
      </x:c>
      <x:c r="H8" s="26" t="str"/>
    </x:row>
    <x:row r="9">
      <x:c r="A9" s="26" t="str">
        <x:v>SR-AIP-MAPT-CONFLICT</x:v>
      </x:c>
      <x:c r="B9" s="26" t="str">
        <x:v>AIP and MAPT selected together</x:v>
      </x:c>
      <x:c r="C9" s="26" t="str">
        <x:v>ROUTE-067</x:v>
      </x:c>
      <x:c r="D9" s="26" t="str">
        <x:v>Critical</x:v>
      </x:c>
      <x:c r="E9" s="26" t="str">
        <x:v>Yes</x:v>
      </x:c>
      <x:c r="F9" s="26" t="str">
        <x:v>Senior/Lead Attorney</x:v>
      </x:c>
      <x:c r="G9" s="26" t="str">
        <x:v>Conflict resolved</x:v>
      </x:c>
      <x:c r="H9" s="26" t="str">
        <x:v>Mutually exclusive.</x:v>
      </x:c>
    </x:row>
    <x:row r="10">
      <x:c r="A10" s="26" t="str">
        <x:v>SR-FIREARMS</x:v>
      </x:c>
      <x:c r="B10" s="26" t="str">
        <x:v>Firearms/NFA/prohibited beneficiary issue</x:v>
      </x:c>
      <x:c r="C10" s="26" t="str">
        <x:v>ROUTE-050</x:v>
      </x:c>
      <x:c r="D10" s="26" t="str">
        <x:v>High</x:v>
      </x:c>
      <x:c r="E10" s="26" t="str">
        <x:v>Conditional</x:v>
      </x:c>
      <x:c r="F10" s="26" t="str">
        <x:v>Senior/Lead Attorney</x:v>
      </x:c>
      <x:c r="G10" s="26" t="str">
        <x:v>Firearms transfer reviewed</x:v>
      </x:c>
      <x:c r="H10" s="26" t="str"/>
    </x:row>
    <x:row r="11">
      <x:c r="A11" s="26" t="str">
        <x:v>SR-BUSINESS</x:v>
      </x:c>
      <x:c r="B11" s="26" t="str">
        <x:v>Business/farm/entity succession</x:v>
      </x:c>
      <x:c r="C11" s="26" t="str">
        <x:v>ROUTE-051</x:v>
      </x:c>
      <x:c r="D11" s="26" t="str">
        <x:v>High</x:v>
      </x:c>
      <x:c r="E11" s="26" t="str">
        <x:v>Conditional</x:v>
      </x:c>
      <x:c r="F11" s="26" t="str">
        <x:v>Senior/Lead Attorney</x:v>
      </x:c>
      <x:c r="G11" s="26" t="str">
        <x:v>Business succession review completed</x:v>
      </x:c>
      <x:c r="H11" s="26" t="str"/>
    </x:row>
    <x:row r="12">
      <x:c r="A12" s="26" t="str">
        <x:v>SR-CONFLICT</x:v>
      </x:c>
      <x:c r="B12" s="26" t="str">
        <x:v>Family conflict or contested-estate risk</x:v>
      </x:c>
      <x:c r="C12" s="26" t="str">
        <x:v>ROUTE-019</x:v>
      </x:c>
      <x:c r="D12" s="26" t="str">
        <x:v>High</x:v>
      </x:c>
      <x:c r="E12" s="26" t="str">
        <x:v>Conditional</x:v>
      </x:c>
      <x:c r="F12" s="26" t="str">
        <x:v>Senior/Lead Attorney</x:v>
      </x:c>
      <x:c r="G12" s="26" t="str">
        <x:v>Conflict strategy documented</x:v>
      </x:c>
      <x:c r="H12" s="26" t="str"/>
    </x:row>
    <x:row r="13">
      <x:c r="A13" s="26" t="str">
        <x:v>SR-CLAUSE</x:v>
      </x:c>
      <x:c r="B13" s="26" t="str">
        <x:v>Clause only exists as placeholder/legacy draft</x:v>
      </x:c>
      <x:c r="C13" s="26" t="str">
        <x:v>ROUTE-060</x:v>
      </x:c>
      <x:c r="D13" s="26" t="str">
        <x:v>Medium</x:v>
      </x:c>
      <x:c r="E13" s="26" t="str">
        <x:v>Conditional</x:v>
      </x:c>
      <x:c r="F13" s="26" t="str">
        <x:v>Attorney</x:v>
      </x:c>
      <x:c r="G13" s="26" t="str">
        <x:v>Clause approved or custom drafting assigned</x:v>
      </x:c>
      <x:c r="H13" s="26" t="str"/>
    </x:row>
  </x:sheetData>
  <x:conditionalFormatting sqref="E2:E13">
    <x:cfRule type="expression" dxfId="3" priority="1">
      <x:formula>E2="Yes"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573c36350c94d5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48" hidden="0" customWidth="1"/>
    <x:col min="4" max="4" width="44" hidden="0" customWidth="1"/>
    <x:col min="5" max="5" width="14" hidden="0" customWidth="1"/>
    <x:col min="6" max="6" width="18" hidden="0" customWidth="1"/>
    <x:col min="7" max="7" width="45" hidden="0" customWidth="1"/>
  </x:cols>
  <x:sheetData>
    <x:row r="1">
      <x:c r="A1" s="6" t="str">
        <x:v>Conflict ID</x:v>
      </x:c>
      <x:c r="B1" s="6" t="str">
        <x:v>Conflict Condition</x:v>
      </x:c>
      <x:c r="C1" s="6" t="str">
        <x:v>Correct Rule</x:v>
      </x:c>
      <x:c r="D1" s="6" t="str">
        <x:v>System Response</x:v>
      </x:c>
      <x:c r="E1" s="6" t="str">
        <x:v>Blocking?</x:v>
      </x:c>
      <x:c r="F1" s="6" t="str">
        <x:v>Resolution Owner</x:v>
      </x:c>
      <x:c r="G1" s="6" t="str">
        <x:v>Notes</x:v>
      </x:c>
    </x:row>
    <x:row r="2">
      <x:c r="A2" s="26" t="str">
        <x:v>CON-001</x:v>
      </x:c>
      <x:c r="B2" s="26" t="str">
        <x:v>EP-AIP.0/.1/.2 selected with EP-APP or MAPT clause/package</x:v>
      </x:c>
      <x:c r="C2" s="26" t="str">
        <x:v>AIP scenarios never include MAPT planning; MAPT belongs to EP-APP only.</x:v>
      </x:c>
      <x:c r="D2" s="26" t="str">
        <x:v>Block final design and require attorney selection of either EP-AIP or EP-APP.</x:v>
      </x:c>
      <x:c r="E2" s="26" t="str">
        <x:v>Yes</x:v>
      </x:c>
      <x:c r="F2" s="26" t="str">
        <x:v>Attorney</x:v>
      </x:c>
      <x:c r="G2" s="26" t="str">
        <x:v>Locked correction.</x:v>
      </x:c>
    </x:row>
    <x:row r="3">
      <x:c r="A3" s="26" t="str">
        <x:v>CON-002</x:v>
      </x:c>
      <x:c r="B3" s="26" t="str">
        <x:v>Client wants MAPT to preserve assets for descendants but AIP scenario selected</x:v>
      </x:c>
      <x:c r="C3" s="26" t="str">
        <x:v>Route to EP-APP; AIP is care-spending, not next-generation preservation.</x:v>
      </x:c>
      <x:c r="D3" s="26" t="str">
        <x:v>Replace recommendation or flag senior review.</x:v>
      </x:c>
      <x:c r="E3" s="26" t="str">
        <x:v>Conditional</x:v>
      </x:c>
      <x:c r="F3" s="26" t="str">
        <x:v>Attorney</x:v>
      </x:c>
      <x:c r="G3" s="26" t="str">
        <x:v>MAPT preserves assets for persons other than settlor/spouse, typically descendants.</x:v>
      </x:c>
    </x:row>
    <x:row r="4">
      <x:c r="A4" s="26" t="str">
        <x:v>CON-003</x:v>
      </x:c>
      <x:c r="B4" s="26" t="str">
        <x:v>Joint RLT selected while spouses have different final beneficiaries</x:v>
      </x:c>
      <x:c r="C4" s="26" t="str">
        <x:v>Joint trust may be inappropriate.</x:v>
      </x:c>
      <x:c r="D4" s="26" t="str">
        <x:v>Require separate trust/protected share review.</x:v>
      </x:c>
      <x:c r="E4" s="26" t="str">
        <x:v>Yes</x:v>
      </x:c>
      <x:c r="F4" s="26" t="str">
        <x:v>Attorney</x:v>
      </x:c>
      <x:c r="G4" s="26" t="str"/>
    </x:row>
    <x:row r="5">
      <x:c r="A5" s="26" t="str">
        <x:v>CON-004</x:v>
      </x:c>
      <x:c r="B5" s="26" t="str">
        <x:v>Complete survivor control selected plus children/remainders locked in after first death</x:v>
      </x:c>
      <x:c r="C5" s="26" t="str">
        <x:v>These choices conflict.</x:v>
      </x:c>
      <x:c r="D5" s="26" t="str">
        <x:v>Require attorney confirmation and final design note.</x:v>
      </x:c>
      <x:c r="E5" s="26" t="str">
        <x:v>Conditional</x:v>
      </x:c>
      <x:c r="F5" s="26" t="str">
        <x:v>Attorney</x:v>
      </x:c>
      <x:c r="G5" s="26" t="str"/>
    </x:row>
    <x:row r="6">
      <x:c r="A6" s="26" t="str">
        <x:v>CON-005</x:v>
      </x:c>
      <x:c r="B6" s="26" t="str">
        <x:v>POA crisis powers and RLT crisis powers mismatch</x:v>
      </x:c>
      <x:c r="C6" s="26" t="str">
        <x:v>Powers may be inconsistent.</x:v>
      </x:c>
      <x:c r="D6" s="26" t="str">
        <x:v>Require cross-check confirmation.</x:v>
      </x:c>
      <x:c r="E6" s="26" t="str">
        <x:v>Conditional</x:v>
      </x:c>
      <x:c r="F6" s="26" t="str">
        <x:v>Attorney</x:v>
      </x:c>
      <x:c r="G6" s="26" t="str"/>
    </x:row>
    <x:row r="7">
      <x:c r="A7" s="26" t="str">
        <x:v>CON-006</x:v>
      </x:c>
      <x:c r="B7" s="26" t="str">
        <x:v>Disabled beneficiary identified but outright distribution selected</x:v>
      </x:c>
      <x:c r="C7" s="26" t="str">
        <x:v>Outright distribution may impair benefits.</x:v>
      </x:c>
      <x:c r="D7" s="26" t="str">
        <x:v>Require SNT/protective trust review.</x:v>
      </x:c>
      <x:c r="E7" s="26" t="str">
        <x:v>Yes</x:v>
      </x:c>
      <x:c r="F7" s="26" t="str">
        <x:v>Attorney</x:v>
      </x:c>
      <x:c r="G7" s="26" t="str"/>
    </x:row>
    <x:row r="8">
      <x:c r="A8" s="26" t="str">
        <x:v>CON-007</x:v>
      </x:c>
      <x:c r="B8" s="26" t="str">
        <x:v>Minor named as fiduciary</x:v>
      </x:c>
      <x:c r="C8" s="26" t="str">
        <x:v>Minor cannot serve in fiduciary roles requiring legal capacity.</x:v>
      </x:c>
      <x:c r="D8" s="26" t="str">
        <x:v>Flag invalid nominee and require alternate/adult structure.</x:v>
      </x:c>
      <x:c r="E8" s="26" t="str">
        <x:v>Yes</x:v>
      </x:c>
      <x:c r="F8" s="26" t="str">
        <x:v>Attorney</x:v>
      </x:c>
      <x:c r="G8" s="26" t="str"/>
    </x:row>
    <x:row r="9">
      <x:c r="A9" s="26" t="str">
        <x:v>CON-008</x:v>
      </x:c>
      <x:c r="B9" s="26" t="str">
        <x:v>Specific gift consumes estate or conflicts with remainder/equalization intent</x:v>
      </x:c>
      <x:c r="C9" s="26" t="str">
        <x:v>Specific gifts have priority and can distort remainder distribution.</x:v>
      </x:c>
      <x:c r="D9" s="26" t="str">
        <x:v>Trigger gift/equalization warning and attorney confirmation.</x:v>
      </x:c>
      <x:c r="E9" s="26" t="str">
        <x:v>Conditional</x:v>
      </x:c>
      <x:c r="F9" s="26" t="str">
        <x:v>Attorney</x:v>
      </x:c>
      <x:c r="G9" s="26" t="str"/>
    </x:row>
    <x:row r="10">
      <x:c r="A10" s="26" t="str">
        <x:v>CON-009</x:v>
      </x:c>
      <x:c r="B10" s="26" t="str">
        <x:v>Legacy clause name mapped without approved system clause name/status</x:v>
      </x:c>
      <x:c r="C10" s="26" t="str">
        <x:v>Legacy name is non-controlling.</x:v>
      </x:c>
      <x:c r="D10" s="26" t="str">
        <x:v>Flag clause placeholder; require approved temporary/final name and status.</x:v>
      </x:c>
      <x:c r="E10" s="26" t="str">
        <x:v>Conditional</x:v>
      </x:c>
      <x:c r="F10" s="26" t="str">
        <x:v>Attorney/Admin</x:v>
      </x:c>
      <x:c r="G10" s="26" t="str"/>
    </x:row>
  </x:sheetData>
  <x:conditionalFormatting sqref="E2:E10">
    <x:cfRule type="expression" dxfId="2" priority="1">
      <x:formula>E2="Yes"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a82028d00e2422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48" hidden="0" customWidth="1"/>
    <x:col min="4" max="4" width="42" hidden="0" customWidth="1"/>
    <x:col min="5" max="5" width="16" hidden="0" customWidth="1"/>
    <x:col min="6" max="6" width="24" hidden="0" customWidth="1"/>
    <x:col min="7" max="7" width="26" hidden="0" customWidth="1"/>
    <x:col min="8" max="8" width="42" hidden="0" customWidth="1"/>
    <x:col min="9" max="9" width="22" hidden="0" customWidth="1"/>
    <x:col min="10" max="10" width="45" hidden="0" customWidth="1"/>
  </x:cols>
  <x:sheetData>
    <x:row r="1">
      <x:c r="A1" s="6" t="str">
        <x:v>Sample ID</x:v>
      </x:c>
      <x:c r="B1" s="6" t="str">
        <x:v>Matter Profile</x:v>
      </x:c>
      <x:c r="C1" s="6" t="str">
        <x:v>Key Inputs</x:v>
      </x:c>
      <x:c r="D1" s="6" t="str">
        <x:v>Triggered Rule IDs</x:v>
      </x:c>
      <x:c r="E1" s="6" t="str">
        <x:v>Expected Plan</x:v>
      </x:c>
      <x:c r="F1" s="6" t="str">
        <x:v>Expected Scenario</x:v>
      </x:c>
      <x:c r="G1" s="6" t="str">
        <x:v>Expected Track</x:v>
      </x:c>
      <x:c r="H1" s="6" t="str">
        <x:v>Expected Flags</x:v>
      </x:c>
      <x:c r="I1" s="6" t="str">
        <x:v>Expected Status</x:v>
      </x:c>
      <x:c r="J1" s="6" t="str">
        <x:v>Notes</x:v>
      </x:c>
    </x:row>
    <x:row r="2">
      <x:c r="A2" s="26" t="str">
        <x:v>SAMPLE-001</x:v>
      </x:c>
      <x:c r="B2" s="26" t="str">
        <x:v>Unified married couple, joint adult children, nursing-home protection priority</x:v>
      </x:c>
      <x:c r="C2" s="26" t="str">
        <x:v>Married; all children joint; P6/P7 high; forced SS-SNT accepted</x:v>
      </x:c>
      <x:c r="D2" s="26" t="str">
        <x:v>ROUTE-001, ROUTE-024, ROUTE-039</x:v>
      </x:c>
      <x:c r="E2" s="26" t="str">
        <x:v>EP-LTP</x:v>
      </x:c>
      <x:c r="F2" s="26" t="str">
        <x:v>EP-LTP.SS-SNT.1</x:v>
      </x:c>
      <x:c r="G2" s="26" t="str">
        <x:v>FST-1</x:v>
      </x:c>
      <x:c r="H2" s="26" t="str">
        <x:v>SS-SNT trustee required</x:v>
      </x:c>
      <x:c r="I2" s="26" t="str">
        <x:v>Attorney Confirmation</x:v>
      </x:c>
      <x:c r="J2" s="26" t="str">
        <x:v>Most common first-death path.</x:v>
      </x:c>
    </x:row>
    <x:row r="3">
      <x:c r="A3" s="26" t="str">
        <x:v>SAMPLE-002</x:v>
      </x:c>
      <x:c r="B3" s="26" t="str">
        <x:v>Unified married couple, rejects forced SNT but wants conditional protection</x:v>
      </x:c>
      <x:c r="C3" s="26" t="str">
        <x:v>Married; joint children; conditional SNT selected</x:v>
      </x:c>
      <x:c r="D3" s="26" t="str">
        <x:v>ROUTE-001, ROUTE-025, ROUTE-040</x:v>
      </x:c>
      <x:c r="E3" s="26" t="str">
        <x:v>EP-LTP</x:v>
      </x:c>
      <x:c r="F3" s="26" t="str">
        <x:v>EP-LTP.SS-SNT.2</x:v>
      </x:c>
      <x:c r="G3" s="26" t="str">
        <x:v>FST-1</x:v>
      </x:c>
      <x:c r="H3" s="26" t="str">
        <x:v>Define SNT trigger condition</x:v>
      </x:c>
      <x:c r="I3" s="26" t="str">
        <x:v>Attorney Confirmation</x:v>
      </x:c>
      <x:c r="J3" s="26" t="str"/>
    </x:row>
    <x:row r="4">
      <x:c r="A4" s="26" t="str">
        <x:v>SAMPLE-003</x:v>
      </x:c>
      <x:c r="B4" s="26" t="str">
        <x:v>Unified married couple, ample assets, remarriage concern</x:v>
      </x:c>
      <x:c r="C4" s="26" t="str">
        <x:v>Married; tax posture TAX-0; SS-SNT not primary; P8 high</x:v>
      </x:c>
      <x:c r="D4" s="26" t="str">
        <x:v>ROUTE-001, ROUTE-026, ROUTE-028</x:v>
      </x:c>
      <x:c r="E4" s="26" t="str">
        <x:v>EP-LTP</x:v>
      </x:c>
      <x:c r="F4" s="26" t="str">
        <x:v>EP-LTP.AB.1 + RM.1</x:v>
      </x:c>
      <x:c r="G4" s="26" t="str">
        <x:v>FST-1</x:v>
      </x:c>
      <x:c r="H4" s="26" t="str">
        <x:v>Remarriage terms</x:v>
      </x:c>
      <x:c r="I4" s="26" t="str">
        <x:v>Attorney Confirmation</x:v>
      </x:c>
      <x:c r="J4" s="26" t="str">
        <x:v>Use 50/50 model.</x:v>
      </x:c>
    </x:row>
    <x:row r="5">
      <x:c r="A5" s="26" t="str">
        <x:v>SAMPLE-004</x:v>
      </x:c>
      <x:c r="B5" s="26" t="str">
        <x:v>Single client with children wants assets used to remain at home</x:v>
      </x:c>
      <x:c r="C5" s="26" t="str">
        <x:v>Single; children; P3 high; no MAPT</x:v>
      </x:c>
      <x:c r="D5" s="26" t="str">
        <x:v>ROUTE-004, ROUTE-021</x:v>
      </x:c>
      <x:c r="E5" s="26" t="str">
        <x:v>EP-LTP</x:v>
      </x:c>
      <x:c r="F5" s="26" t="str">
        <x:v>EP-AIP.0</x:v>
      </x:c>
      <x:c r="G5" s="26" t="str">
        <x:v>FST-7</x:v>
      </x:c>
      <x:c r="H5" s="26" t="str">
        <x:v>Home-care mandate details</x:v>
      </x:c>
      <x:c r="I5" s="26" t="str">
        <x:v>Attorney Confirmation</x:v>
      </x:c>
      <x:c r="J5" s="26" t="str"/>
    </x:row>
    <x:row r="6">
      <x:c r="A6" s="26" t="str">
        <x:v>SAMPLE-005</x:v>
      </x:c>
      <x:c r="B6" s="26" t="str">
        <x:v>Client wants MAPT to preserve assets for children</x:v>
      </x:c>
      <x:c r="C6" s="26" t="str">
        <x:v>MAPT desired; next-generation preservation priority</x:v>
      </x:c>
      <x:c r="D6" s="26" t="str">
        <x:v>ROUTE-011, ROUTE-032, ROUTE-062</x:v>
      </x:c>
      <x:c r="E6" s="26" t="str">
        <x:v>EP-APP</x:v>
      </x:c>
      <x:c r="F6" s="26" t="str">
        <x:v>EP-APP.1</x:v>
      </x:c>
      <x:c r="G6" s="26" t="str">
        <x:v>Asset Protection Plan</x:v>
      </x:c>
      <x:c r="H6" s="26" t="str">
        <x:v>Senior review; MAPT funding required</x:v>
      </x:c>
      <x:c r="I6" s="26" t="str">
        <x:v>Not Drafting Ready until funding complete</x:v>
      </x:c>
      <x:c r="J6" s="26" t="str">
        <x:v>AIP excluded.</x:v>
      </x:c>
    </x:row>
    <x:row r="7">
      <x:c r="A7" s="26" t="str">
        <x:v>SAMPLE-006</x:v>
      </x:c>
      <x:c r="B7" s="26" t="str">
        <x:v>Client has disabled beneficiary receiving benefits</x:v>
      </x:c>
      <x:c r="C7" s="26" t="str">
        <x:v>Beneficiary benefits-sensitive; otherwise standard LTP</x:v>
      </x:c>
      <x:c r="D7" s="26" t="str">
        <x:v>ROUTE-017, ROUTE-044</x:v>
      </x:c>
      <x:c r="E7" s="26" t="str">
        <x:v>EP-LTP</x:v>
      </x:c>
      <x:c r="F7" s="26" t="str">
        <x:v>Scenario retained + SNT clause path</x:v>
      </x:c>
      <x:c r="G7" s="26" t="str">
        <x:v>Current track</x:v>
      </x:c>
      <x:c r="H7" s="26" t="str">
        <x:v>Senior review; SNT trigger</x:v>
      </x:c>
      <x:c r="I7" s="26" t="str">
        <x:v>Attorney Confirmation</x:v>
      </x:c>
      <x:c r="J7" s="26" t="str"/>
    </x:row>
    <x:row r="8">
      <x:c r="A8" s="26" t="str">
        <x:v>SAMPLE-007</x:v>
      </x:c>
      <x:c r="B8" s="26" t="str">
        <x:v>Blended family with different remainder beneficiaries</x:v>
      </x:c>
      <x:c r="C8" s="26" t="str">
        <x:v>Married; separate children; different remainder beneficiaries</x:v>
      </x:c>
      <x:c r="D8" s="26" t="str">
        <x:v>ROUTE-002, ROUTE-008</x:v>
      </x:c>
      <x:c r="E8" s="26" t="str">
        <x:v>EP-LTP</x:v>
      </x:c>
      <x:c r="F8" s="26" t="str">
        <x:v>Protected share TBD</x:v>
      </x:c>
      <x:c r="G8" s="26" t="str">
        <x:v>FST-2</x:v>
      </x:c>
      <x:c r="H8" s="26" t="str">
        <x:v>Senior review; joint trust warning</x:v>
      </x:c>
      <x:c r="I8" s="26" t="str">
        <x:v>Senior Review</x:v>
      </x:c>
      <x:c r="J8" s="26" t="str"/>
    </x:row>
    <x:row r="9">
      <x:c r="A9" s="26" t="str">
        <x:v>SAMPLE-008</x:v>
      </x:c>
      <x:c r="B9" s="26" t="str">
        <x:v>AIP and MAPT selected by inconsistent answers</x:v>
      </x:c>
      <x:c r="C9" s="26" t="str">
        <x:v>AIP.1 recommended but MAPT requested</x:v>
      </x:c>
      <x:c r="D9" s="26" t="str">
        <x:v>ROUTE-011, ROUTE-012, ROUTE-067</x:v>
      </x:c>
      <x:c r="E9" s="26" t="str">
        <x:v>Conflict</x:v>
      </x:c>
      <x:c r="F9" s="26" t="str">
        <x:v>Conflict</x:v>
      </x:c>
      <x:c r="G9" s="26" t="str">
        <x:v>Current track</x:v>
      </x:c>
      <x:c r="H9" s="26" t="str">
        <x:v>AIP/MAPT conflict</x:v>
      </x:c>
      <x:c r="I9" s="26" t="str">
        <x:v>Blocked</x:v>
      </x:c>
      <x:c r="J9" s="26" t="str">
        <x:v>Attorney must resolve.</x:v>
      </x:c>
    </x:row>
    <x:row r="10">
      <x:c r="A10" s="26" t="str">
        <x:v>SAMPLE-009</x:v>
      </x:c>
      <x:c r="B10" s="26" t="str">
        <x:v>Young family with minor children</x:v>
      </x:c>
      <x:c r="C10" s="26" t="str">
        <x:v>Minor children; guardianship primary; no RLT complexity</x:v>
      </x:c>
      <x:c r="D10" s="26" t="str">
        <x:v>ROUTE-006, ROUTE-031</x:v>
      </x:c>
      <x:c r="E10" s="26" t="str">
        <x:v>EP-YFP</x:v>
      </x:c>
      <x:c r="F10" s="26" t="str">
        <x:v>Young Family Baseline</x:v>
      </x:c>
      <x:c r="G10" s="26" t="str">
        <x:v>FST-4</x:v>
      </x:c>
      <x:c r="H10" s="26" t="str">
        <x:v>Guardian designation</x:v>
      </x:c>
      <x:c r="I10" s="26" t="str">
        <x:v>Attorney Confirmation</x:v>
      </x:c>
      <x:c r="J10" s="26" t="str"/>
    </x:row>
    <x:row r="11">
      <x:c r="A11" s="26" t="str">
        <x:v>SAMPLE-010</x:v>
      </x:c>
      <x:c r="B11" s="26" t="str">
        <x:v>Federal tax sensitive estate</x:v>
      </x:c>
      <x:c r="C11" s="26" t="str">
        <x:v>Married; TAX-2; possible A/B/C</x:v>
      </x:c>
      <x:c r="D11" s="26" t="str">
        <x:v>ROUTE-014, ROUTE-027</x:v>
      </x:c>
      <x:c r="E11" s="26" t="str">
        <x:v>EP-LTP</x:v>
      </x:c>
      <x:c r="F11" s="26" t="str">
        <x:v>EP-LTP.ABC.1 possible</x:v>
      </x:c>
      <x:c r="G11" s="26" t="str">
        <x:v>Current track</x:v>
      </x:c>
      <x:c r="H11" s="26" t="str">
        <x:v>Senior tax review</x:v>
      </x:c>
      <x:c r="I11" s="26" t="str">
        <x:v>Senior Review</x:v>
      </x:c>
      <x:c r="J11" s="26" t="str"/>
    </x:row>
  </x:sheetData>
  <x:pageMargins left="0.7" right="0.7" top="0.75" bottom="0.75" header="0.3" footer="0.3"/>
  <x:tableParts count="1">
    <x:tablePart xmlns:r="http://schemas.openxmlformats.org/officeDocument/2006/relationships" r:id="Ra86845ad00ac4b0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36" t="str">
        <x:v>12D_Master Routing Rules Table</x:v>
      </x:c>
      <x:c r="B1" s="36" t="str"/>
    </x:row>
    <x:row r="2">
      <x:c r="A2" s="31" t="str">
        <x:v>Purpose</x:v>
      </x:c>
      <x:c r="B2" t="str">
        <x:v>Provides deterministic routing, exclusion, senior-review, clause-trigger, QC, and attorney-confirmation rules for the EP Design Sheet Copilot / MS 365 app build.</x:v>
      </x:c>
    </x:row>
    <x:row r="3">
      <x:c r="A3" s="31" t="str">
        <x:v>How to Use</x:v>
      </x:c>
      <x:c r="B3" t="str">
        <x:v>Use this workbook with 12A Master Field Data Dictionary, 12B Controlled Option Sets, and 12C Question/Answer/Scoring Matrix. Scoring suggests outputs; these routing rules enforce hard gates, exclusions, and attorney confirmation.</x:v>
      </x:c>
    </x:row>
    <x:row r="4">
      <x:c r="A4" s="31" t="str">
        <x:v>Locked MAPT/AIP Rule</x:v>
      </x:c>
      <x:c r="B4" t="str">
        <x:v>EP-AIP.0, EP-AIP.1, and EP-AIP.2 do not include MAPT planning. MAPT belongs to EP-APP only and is used to preserve assets for persons other than the settlor or spouse, typically descendants or next-generation beneficiaries.</x:v>
      </x:c>
    </x:row>
    <x:row r="5">
      <x:c r="A5" s="31" t="str">
        <x:v>Workbook Version</x:v>
      </x:c>
      <x:c r="B5" t="str">
        <x:v>v1.0</x:v>
      </x:c>
    </x:row>
    <x:row r="6">
      <x:c r="A6" s="31" t="str">
        <x:v>Generated</x:v>
      </x:c>
      <x:c r="B6" t="str">
        <x:v>2026-05-05 10:47</x:v>
      </x:c>
    </x:row>
    <x:row r="7">
      <x:c r="A7" t="str"/>
      <x:c r="B7" t="str"/>
    </x:row>
    <x:row r="8">
      <x:c r="A8" s="6" t="str">
        <x:v>Metric</x:v>
      </x:c>
      <x:c r="B8" s="6" t="str">
        <x:v>Formula / Value</x:v>
      </x:c>
    </x:row>
    <x:row r="9">
      <x:c r="A9" t="str">
        <x:v>Active Routing Rules</x:v>
      </x:c>
      <x:c r="B9" t="n">
        <x:f>COUNTIF('Routing Rules'!E5:E72,"Active")</x:f>
        <x:v>68</x:v>
      </x:c>
    </x:row>
    <x:row r="10">
      <x:c r="A10" t="str">
        <x:v>Critical Rules</x:v>
      </x:c>
      <x:c r="B10" t="n">
        <x:f>COUNTIF('Routing Rules'!D5:D72,"Critical")</x:f>
        <x:v>13</x:v>
      </x:c>
    </x:row>
    <x:row r="11">
      <x:c r="A11" t="str">
        <x:v>Senior Review Rules</x:v>
      </x:c>
      <x:c r="B11" t="n">
        <x:f>COUNTIF('Routing Rules'!C5:C72,"Senior Review")</x:f>
        <x:v>9</x:v>
      </x:c>
    </x:row>
    <x:row r="12">
      <x:c r="A12" t="str">
        <x:v>Hard Gates</x:v>
      </x:c>
      <x:c r="B12" t="n">
        <x:f>COUNTIF('Routing Rules'!C5:C72,"Hard Gate")</x:f>
        <x:v>3</x:v>
      </x:c>
    </x:row>
    <x:row r="13">
      <x:c r="A13" t="str">
        <x:v>Clause Trigger Rules</x:v>
      </x:c>
      <x:c r="B13" t="n">
        <x:f>COUNTIF('Routing Rules'!C5:C72,"Clause Trigger")</x:f>
        <x:v>16</x:v>
      </x:c>
    </x:row>
    <x:row r="14">
      <x:c r="A14" t="str">
        <x:v>Conflict Rules</x:v>
      </x:c>
      <x:c r="B14" t="n">
        <x:f>COUNTA('Conflict Rules'!A2:A100)</x:f>
        <x:v>9</x:v>
      </x:c>
    </x:row>
    <x:row r="15">
      <x:c r="A15" t="str">
        <x:v>Evaluation Samples</x:v>
      </x:c>
      <x:c r="B15" t="n">
        <x:f>COUNTA('Rule Evaluation Samples'!A2:A100)</x:f>
        <x:v>10</x:v>
      </x:c>
    </x:row>
  </x:sheetData>
  <x:mergeCells>
    <x:mergeCell ref="A1:B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8" hidden="0" customWidth="1"/>
    <x:col min="4" max="4" width="50" hidden="0" customWidth="1"/>
    <x:col min="5" max="5" width="24" hidden="0" customWidth="1"/>
    <x:col min="6" max="6" width="22" hidden="0" customWidth="1"/>
    <x:col min="7" max="7" width="50" hidden="0" customWidth="1"/>
  </x:cols>
  <x:sheetData>
    <x:row r="1">
      <x:c r="A1" s="6" t="str">
        <x:v>Version</x:v>
      </x:c>
      <x:c r="B1" s="6" t="str">
        <x:v>Date</x:v>
      </x:c>
      <x:c r="C1" s="6" t="str">
        <x:v>Author/Owner</x:v>
      </x:c>
      <x:c r="D1" s="6" t="str">
        <x:v>Change Summary</x:v>
      </x:c>
      <x:c r="E1" s="6" t="str">
        <x:v>Affected Sheets</x:v>
      </x:c>
      <x:c r="F1" s="6" t="str">
        <x:v>Approval Status</x:v>
      </x:c>
      <x:c r="G1" s="6" t="str">
        <x:v>Notes</x:v>
      </x:c>
    </x:row>
    <x:row r="2">
      <x:c r="A2" s="26" t="str">
        <x:v>v1.0</x:v>
      </x:c>
      <x:c r="B2" s="26" t="str">
        <x:v>2026-05-05</x:v>
      </x:c>
      <x:c r="C2" s="26" t="str">
        <x:v>EP Design Sheet Project</x:v>
      </x:c>
      <x:c r="D2" s="26" t="str">
        <x:v>Initial routing rules table generated from locked system.</x:v>
      </x:c>
      <x:c r="E2" s="26" t="str">
        <x:v>All</x:v>
      </x:c>
      <x:c r="F2" s="26" t="str">
        <x:v>Draft for Review</x:v>
      </x:c>
      <x:c r="G2" s="26" t="str">
        <x:v>Use as engineering input; legal team should approve before production build.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Props1.xml><?xml version="1.0" encoding="utf-8"?>
<ds:datastoreItem xmlns:ds="http://schemas.openxmlformats.org/officeDocument/2006/customXml" ds:itemID="{057CD265-2736-4FA5-B9CE-69966D17244D}"/>
</file>

<file path=customXml/itemProps2.xml><?xml version="1.0" encoding="utf-8"?>
<ds:datastoreItem xmlns:ds="http://schemas.openxmlformats.org/officeDocument/2006/customXml" ds:itemID="{F8BD84EA-B84A-42B0-BE3E-18E2E8971528}"/>
</file>

<file path=customXml/itemProps3.xml><?xml version="1.0" encoding="utf-8"?>
<ds:datastoreItem xmlns:ds="http://schemas.openxmlformats.org/officeDocument/2006/customXml" ds:itemID="{656935A9-9B01-4D4D-88A9-6655EB69A0C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</Properties>
</file>